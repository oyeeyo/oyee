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览与每日作息" state="visible" r:id="rId4"/>
    <sheet sheetId="2" name="11周四科计划" state="visible" r:id="rId5"/>
    <sheet sheetId="3" name="教材章节优先级" state="visible" r:id="rId6"/>
    <sheet sheetId="4" name="855复习清单" state="visible" r:id="rId7"/>
  </sheets>
  <calcPr calcId="171027"/>
</workbook>
</file>

<file path=xl/sharedStrings.xml><?xml version="1.0" encoding="utf-8"?>
<sst xmlns="http://schemas.openxmlformats.org/spreadsheetml/2006/main" count="842" uniqueCount="414">
  <si>
    <t>西南石油大学 2027 考研 · 四科备考总览（在职版）</t>
  </si>
  <si>
    <t>基本信息</t>
  </si>
  <si>
    <t>目标院校</t>
  </si>
  <si>
    <t>西南石油大学（10615）</t>
  </si>
  <si>
    <t>目标专业</t>
  </si>
  <si>
    <t>低空技术与工程（0820J1，2027 拟调整为交叉学科 99J1，计算机与软件学院牵头）</t>
  </si>
  <si>
    <t>初试时间</t>
  </si>
  <si>
    <t>2026 年 12 月 19–20 日（周六、周日）</t>
  </si>
  <si>
    <t>距考试天数</t>
  </si>
  <si>
    <t>可用复习期</t>
  </si>
  <si>
    <t>2026-10-02 至 2026-12-18，共 77 天 / 11 周</t>
  </si>
  <si>
    <t>个人情况</t>
  </si>
  <si>
    <t>在职备考（工作日 9:30–18:30 上班），855 专业课从 0 开始</t>
  </si>
  <si>
    <t>初试科目与考试时段</t>
  </si>
  <si>
    <t>单元</t>
  </si>
  <si>
    <t>科目</t>
  </si>
  <si>
    <t>代码</t>
  </si>
  <si>
    <t>命题方式</t>
  </si>
  <si>
    <t>满分</t>
  </si>
  <si>
    <t>考试时段</t>
  </si>
  <si>
    <t>第一单元</t>
  </si>
  <si>
    <t>思想政治理论</t>
  </si>
  <si>
    <t>101</t>
  </si>
  <si>
    <t>全国统考</t>
  </si>
  <si>
    <t>100</t>
  </si>
  <si>
    <t>12.19 上午 8:30–11:30</t>
  </si>
  <si>
    <t>第二单元</t>
  </si>
  <si>
    <t>英语（一）</t>
  </si>
  <si>
    <t>201</t>
  </si>
  <si>
    <t>12.19 下午 14:00–17:00</t>
  </si>
  <si>
    <t>第三单元</t>
  </si>
  <si>
    <t>数学（二）</t>
  </si>
  <si>
    <t>302</t>
  </si>
  <si>
    <t>150</t>
  </si>
  <si>
    <t>12.20 上午 8:30–11:30</t>
  </si>
  <si>
    <t>第四单元</t>
  </si>
  <si>
    <t>数字图像处理</t>
  </si>
  <si>
    <t>855</t>
  </si>
  <si>
    <t>学校自命题（2027 起不再考嵌入式）</t>
  </si>
  <si>
    <t>12.20 下午 14:00–17:00</t>
  </si>
  <si>
    <t>三阶段总策略</t>
  </si>
  <si>
    <t>阶段</t>
  </si>
  <si>
    <t>时间</t>
  </si>
  <si>
    <t>855 专业课</t>
  </si>
  <si>
    <t>政治</t>
  </si>
  <si>
    <t>一 · 基础冲刺</t>
  </si>
  <si>
    <t xml:space="preserve">第1–5周
10.02–11.05</t>
  </si>
  <si>
    <t>一轮过完全部 7 大板块（国庆假期攻下前三章）</t>
  </si>
  <si>
    <t>强化收尾 + 真题一轮（2010–2020）</t>
  </si>
  <si>
    <t>真题阅读精读 + 单词</t>
  </si>
  <si>
    <t>强化课 + 1000 题一遍</t>
  </si>
  <si>
    <t>二 · 强化真题</t>
  </si>
  <si>
    <t xml:space="preserve">第6–9周
11.06–12.03</t>
  </si>
  <si>
    <t>重点章二刷 + 公式手册 + 刷题 + 2 次全真模拟</t>
  </si>
  <si>
    <t>真题二刷 + 李林 6 套</t>
  </si>
  <si>
    <t>真题二刷 + 作文模板</t>
  </si>
  <si>
    <t>背诵手册 + 肖八</t>
  </si>
  <si>
    <t>三 · 冲刺模考</t>
  </si>
  <si>
    <t xml:space="preserve">第10–11周+考前
12.04–12.18</t>
  </si>
  <si>
    <t>错题本三遍 + 公式/CV 简答背诵</t>
  </si>
  <si>
    <t>模拟卷保手感 + 错题本</t>
  </si>
  <si>
    <t>作文背诵 + 模考</t>
  </si>
  <si>
    <t>肖四大题突击背诵</t>
  </si>
  <si>
    <t>工作日作息（上班日，约 6 小时有效学习）</t>
  </si>
  <si>
    <t>时段</t>
  </si>
  <si>
    <t>时长</t>
  </si>
  <si>
    <t>说明</t>
  </si>
  <si>
    <t/>
  </si>
  <si>
    <t>06:40–08:00</t>
  </si>
  <si>
    <t>1.3h</t>
  </si>
  <si>
    <t>08:00–09:00</t>
  </si>
  <si>
    <t>英语单词</t>
  </si>
  <si>
    <t>0.5h</t>
  </si>
  <si>
    <t>09:30–18:30</t>
  </si>
  <si>
    <t>上班</t>
  </si>
  <si>
    <t>—</t>
  </si>
  <si>
    <t>12:30–13:10</t>
  </si>
  <si>
    <t>政治 / 英语阅读</t>
  </si>
  <si>
    <t>0.6h</t>
  </si>
  <si>
    <t>19:30–21:30</t>
  </si>
  <si>
    <t>专业课 855</t>
  </si>
  <si>
    <t>2h</t>
  </si>
  <si>
    <t>21:30–22:30</t>
  </si>
  <si>
    <t>855 复盘 / 数学补弱</t>
  </si>
  <si>
    <t>1h</t>
  </si>
  <si>
    <t>22:30–23:00</t>
  </si>
  <si>
    <t>英语 / 政治收尾</t>
  </si>
  <si>
    <t>周末作息（约 10 小时/天，补齐总量、集中模考）</t>
  </si>
  <si>
    <t>08:00–11:30</t>
  </si>
  <si>
    <t>3.5h</t>
  </si>
  <si>
    <t>14:00–17:00</t>
  </si>
  <si>
    <t>英语（一）或 855 模拟</t>
  </si>
  <si>
    <t>3h</t>
  </si>
  <si>
    <t>19:00–21:00</t>
  </si>
  <si>
    <t>21:00–22:00</t>
  </si>
  <si>
    <t>学习资源建议</t>
  </si>
  <si>
    <t>855 主线教材</t>
  </si>
  <si>
    <t>冈萨雷斯《数字图像处理》第三版（章节取舍见“教材章节优先级”表）；习题补充：王一丁《图像处理与模式识别》(2024)；Szeliski《计算机视觉》仅看概览与深度学习部分</t>
  </si>
  <si>
    <t>数学二</t>
  </si>
  <si>
    <t>强化讲义（张宇/武忠祥任选其一）+ 历年真题 + 李林 6 套卷/合工大超越卷</t>
  </si>
  <si>
    <t>英语一</t>
  </si>
  <si>
    <t>真题黄皮书（近 15 年）+ 作文模板（王江涛/石雷鹏）</t>
  </si>
  <si>
    <t>精讲精练或核心考案 + 1000 题 + 腿姐背诵手册 + 肖八肖四（大题以肖四为主）</t>
  </si>
  <si>
    <t>辅助</t>
  </si>
  <si>
    <t>3Blue1Brown 傅里叶变换视频；Python(numpy+OpenCV) 代码实操；研究生院官网 www.swpu.edu.cn/gs</t>
  </si>
  <si>
    <t>风险提示</t>
  </si>
  <si>
    <t>① 时间风险最大：在职备考仅 77 天、每周约 50 小时，855 从零起步——国庆黄金周必须用足，节奏建立后不要中断。</t>
  </si>
  <si>
    <t>② 855 为改考后首届单独命题，题型不确定，务必全面覆盖大纲，不要押题赌重点。</t>
  </si>
  <si>
    <t>③ 专业代码可能由 0820J1 变更为交叉学科 99J1，10 月中下旬报名时以研招网正式目录为准。</t>
  </si>
  <si>
    <t>④ 大纲第七章计算机视觉为新增且要求“掌握”，简答题出题概率高，切勿只复习传统图像处理。</t>
  </si>
  <si>
    <t>⑤ 每周留半天完全休息，睡眠保底 7 小时，防止在职备考透支。</t>
  </si>
  <si>
    <t>11 周四科并行计划（2026.10.02 – 12.18）</t>
  </si>
  <si>
    <t>完成进度：</t>
  </si>
  <si>
    <t>完成率：</t>
  </si>
  <si>
    <t>状态列请从下拉框选择：未开始 / 进行中 / 已完成</t>
  </si>
  <si>
    <t>周次</t>
  </si>
  <si>
    <t>日期</t>
  </si>
  <si>
    <t>855 数字图像处理</t>
  </si>
  <si>
    <t>本周里程碑</t>
  </si>
  <si>
    <t>完成状态</t>
  </si>
  <si>
    <t>第1周</t>
  </si>
  <si>
    <t>10.02–10.08</t>
  </si>
  <si>
    <t>强化阶段收尾：高数+线代强化题册完成，错题归因</t>
  </si>
  <si>
    <t>2010–2013 真题阅读精读，每天 2 篇（假期集中做）</t>
  </si>
  <si>
    <t>马原强化课听完 + 对应 1000 题</t>
  </si>
  <si>
    <t>★国庆黄金周（全天 8~9h/天）：绪论+数字化 → 空间域增强 → 频率域增强（先补傅里叶直觉视频）</t>
  </si>
  <si>
    <t>假期完成 855 前三板块（全书 30%）</t>
  </si>
  <si>
    <t>未开始</t>
  </si>
  <si>
    <t>第2周</t>
  </si>
  <si>
    <t>10.09–10.15</t>
  </si>
  <si>
    <t>真题一轮启动：2010–2014，隔天 1 套，周末上午限时</t>
  </si>
  <si>
    <t>2014–2015 阅读精读；通勤固定背单词</t>
  </si>
  <si>
    <t>毛中特强化课 + 1000 题（午休/睡前 30min）</t>
  </si>
  <si>
    <t>图像恢复：退化模型、噪声统计特性、逆滤波/维纳/约束最小二乘对比、几何变换与配准</t>
  </si>
  <si>
    <t>形成“早数学、晚 855”工作日节奏</t>
  </si>
  <si>
    <t>第3周</t>
  </si>
  <si>
    <t>10.16–10.22</t>
  </si>
  <si>
    <t>真题 2015–2017 + 错题本复盘</t>
  </si>
  <si>
    <t>2016–2017 阅读 + 新题型起步</t>
  </si>
  <si>
    <t>史纲强化课 + 1000 题</t>
  </si>
  <si>
    <t>彩色处理（RGB/CMY/HSI 转换手算）+ 形态学（腐蚀/膨胀/开/闭画图演算）</t>
  </si>
  <si>
    <t>彩色转换与形态学画图手算过关</t>
  </si>
  <si>
    <t>第4周</t>
  </si>
  <si>
    <t>10.23–10.29</t>
  </si>
  <si>
    <t>真题 2018–2019 + 选填技巧专项</t>
  </si>
  <si>
    <t>2018–2019 阅读 + 完形练习</t>
  </si>
  <si>
    <t>思修法基强化课；1000 题一遍收尾</t>
  </si>
  <si>
    <t>图像分割：阈值/Otsu 推导、区域生长、边缘检测与 Hough、聚类、活动轮廓、图割、分水岭</t>
  </si>
  <si>
    <t>完成各分割算法对比表</t>
  </si>
  <si>
    <t>第5周</t>
  </si>
  <si>
    <t>10.30–11.05</t>
  </si>
  <si>
    <t>真题一轮收尾（2020）+ 高频考点归纳</t>
  </si>
  <si>
    <t>2020 阅读 + 作文模板初稿</t>
  </si>
  <si>
    <t>1000 题错题二刷启动</t>
  </si>
  <si>
    <t>计算机视觉章 + 全书一轮串讲复盘；清单第一轮全部打勾</t>
  </si>
  <si>
    <t>855 全书一轮完成（11.05 前）</t>
  </si>
  <si>
    <t>第6周</t>
  </si>
  <si>
    <t>11.06–11.12</t>
  </si>
  <si>
    <t>真题 2021–2023：限时 + 完整订正</t>
  </si>
  <si>
    <t>真题二刷（2015–2017 阅读重做）+ 翻译</t>
  </si>
  <si>
    <t>背诵手册过一遍（腿姐/徐涛均可）</t>
  </si>
  <si>
    <t>重点章二刷：频率域、恢复、形态学、分割；整理个人公式手册</t>
  </si>
  <si>
    <t>855 公式手册初稿完成</t>
  </si>
  <si>
    <t>第7周</t>
  </si>
  <si>
    <t>11.13–11.19</t>
  </si>
  <si>
    <t>真题 2024–2025 + 模拟卷第 1 套</t>
  </si>
  <si>
    <t>作文模板背诵 + 新题型/翻译强化</t>
  </si>
  <si>
    <t>背诵手册二刷 + 时政起步</t>
  </si>
  <si>
    <t>刷题周：冈萨雷斯课后题精选 + 王一丁习题，每章 ≥15 题；建立错题本</t>
  </si>
  <si>
    <t>855 清单二轮打勾完成</t>
  </si>
  <si>
    <t>第8周</t>
  </si>
  <si>
    <t>11.20–11.26</t>
  </si>
  <si>
    <t>李林 6 套卷：隔天 1 套，周末上午限时</t>
  </si>
  <si>
    <t>整套真题模拟 1 次（2021 卷，14:00–17:00 限时）</t>
  </si>
  <si>
    <t>背诵手册二刷收尾</t>
  </si>
  <si>
    <t>真题研究（2026 年 855 图像处理部分+本科期末题）；全真模拟第 1 套（周末下午 3h 限时）</t>
  </si>
  <si>
    <t>855 模拟 1 得分 ≥90</t>
  </si>
  <si>
    <t>第9周</t>
  </si>
  <si>
    <t>11.27–12.03</t>
  </si>
  <si>
    <t>李林 6 收尾 + 错题本二刷</t>
  </si>
  <si>
    <t>2022 卷模拟 + 作文模板定稿</t>
  </si>
  <si>
    <t>肖八选择题 + 大题背诵启动</t>
  </si>
  <si>
    <t>模拟 1 查漏补缺 → 全真模拟第 2 套；错题本二刷</t>
  </si>
  <si>
    <t>855 模拟 2 得分 ≥105</t>
  </si>
  <si>
    <t>第10周</t>
  </si>
  <si>
    <t>12.04–12.10</t>
  </si>
  <si>
    <t>模拟卷保持：隔天 1 套保手感</t>
  </si>
  <si>
    <t>2023–2024 卷模拟 + 大小作文背诵</t>
  </si>
  <si>
    <t>肖四大题密集背诵（周末上午 2h）</t>
  </si>
  <si>
    <t>错题本三刷 + 公式手册背诵 + CV 简答题背诵</t>
  </si>
  <si>
    <t>855 清单“已掌握”全勾</t>
  </si>
  <si>
    <t>第11周</t>
  </si>
  <si>
    <t>12.11–12.17</t>
  </si>
  <si>
    <t>错题本+公式定理手册；隔天 1 套真题保温</t>
  </si>
  <si>
    <t>作文模板滚动背诵 + 真题错题重做</t>
  </si>
  <si>
    <t>肖四背完 + 时政总结背诵</t>
  </si>
  <si>
    <t>只看公式手册/错题本/高频简答，每天 1h 保温</t>
  </si>
  <si>
    <t>打印准考证、确认考场</t>
  </si>
  <si>
    <t>考前日</t>
  </si>
  <si>
    <t>12.18</t>
  </si>
  <si>
    <t>翻错题本和公式，不做新题</t>
  </si>
  <si>
    <t>过一遍作文模板与高频词</t>
  </si>
  <si>
    <t>轻量过肖四大题要点</t>
  </si>
  <si>
    <t>过公式手册与 CV 简答要点</t>
  </si>
  <si>
    <t>备齐证件文具，早睡</t>
  </si>
  <si>
    <t>考试时间：12.19（周六）上午政治 / 下午英语（一）；12.20（周日）上午数学（二）/ 下午 855 数字图像处理。以准考证为准。</t>
  </si>
  <si>
    <t>冈萨雷斯《数字图像处理》第三版 · 全书章节取舍与优先级</t>
  </si>
  <si>
    <t>全书 12 章，855 大纲只覆盖一部分。优先级：★★★重点精读（红）｜★★通读掌握（橙）｜★选择性浏览（蓝）｜✗直接跳过（灰）。章节号按中文第三版（阮秋琦等译，电子工业出版社 2011）。</t>
  </si>
  <si>
    <t>教材章节</t>
  </si>
  <si>
    <t>优先级</t>
  </si>
  <si>
    <t>对应大纲</t>
  </si>
  <si>
    <t>复习策略与说明</t>
  </si>
  <si>
    <t>一轮建议用时</t>
  </si>
  <si>
    <t>第1章 绪论</t>
  </si>
  <si>
    <t>★★</t>
  </si>
  <si>
    <t>（一）1 绪论</t>
  </si>
  <si>
    <t>半天读完 §1.1–1.5，重点记 §1.4 基本步骤框图（简答常考）和 §1.5 系统组成</t>
  </si>
  <si>
    <t>含在8h内</t>
  </si>
  <si>
    <t>第2章 数字图像基础</t>
  </si>
  <si>
    <t>§2.4 采样量化/分辨率/内插 + §2.5 像素关系 + §2.6 数学工具是计算题基础，必须熟练；§2.1–2.3 快速浏览</t>
  </si>
  <si>
    <t>8h（含第1章）</t>
  </si>
  <si>
    <t>第3章 灰度变换与空间滤波</t>
  </si>
  <si>
    <t>★★★</t>
  </si>
  <si>
    <t>（一）2 空间域</t>
  </si>
  <si>
    <t>全章精读。§3.2 灰度变换、§3.3 直方图（均衡化必考手算）、§3.4 相关与卷积、§3.5–3.6 滤波器模板都要会手推；§3.8 组合增强适合算法设计题</t>
  </si>
  <si>
    <t>10h</t>
  </si>
  <si>
    <t>第4章 频率域滤波</t>
  </si>
  <si>
    <t>（一）2 频率域</t>
  </si>
  <si>
    <t>全书最难、分值大户。§4.2–4.3 先靠视频建直觉；§4.5.5–4.6 二维DFT性质、§4.7 频域滤波步骤、§4.8–4.10 三种滤波器+同态滤波必须会写表达式；§4.11 FFT 知思想即可</t>
  </si>
  <si>
    <t>14h</t>
  </si>
  <si>
    <t>第5章 图像复原与重建</t>
  </si>
  <si>
    <t>（一）3 图像恢复</t>
  </si>
  <si>
    <t>§5.1 退化模型、§5.2 噪声PDF、§5.5–5.9 逆/维纳/约束最小二乘是核心（会推导对比）；§5.3–5.4 通读；§5.11 投影重建只需“了解”（CT/Radon/反投影/切片定理）</t>
  </si>
  <si>
    <t>第6章 彩色图像处理</t>
  </si>
  <si>
    <t>（一）4 彩色</t>
  </si>
  <si>
    <t>§6.1–6.2 三模型+转换公式是手算高频；§6.3 伪彩色、§6.4–6.6 全彩色、§6.7 彩色分割通读；§6.8 噪声、§6.9 压缩了解到概念</t>
  </si>
  <si>
    <t>8h</t>
  </si>
  <si>
    <t>第7章 小波变换</t>
  </si>
  <si>
    <t>✗</t>
  </si>
  <si>
    <t>不涉及</t>
  </si>
  <si>
    <t>整章不考。时间再紧也不要碰，省下的时间全部投给第4、10章</t>
  </si>
  <si>
    <t>0h（跳过）</t>
  </si>
  <si>
    <t>第8章 图像压缩与水印</t>
  </si>
  <si>
    <t>仅§6.9沾边</t>
  </si>
  <si>
    <t>正文不考。只花30分钟浏览 §8.1.1–8.1.3（三种冗余）和 §8.1.5（保真度准则/PSNR），防简答题</t>
  </si>
  <si>
    <t>0.5h（选看）</t>
  </si>
  <si>
    <t>第9章 形态学图像处理</t>
  </si>
  <si>
    <t>（一）5 形态学</t>
  </si>
  <si>
    <t>§9.1–9.3 腐蚀/膨胀/开/闭必须会纸上演算（画图题高频）；§9.5 基本算法逐个过；§9.6 重构、§9.8 灰度形态学（含粒度测定）通读；§9.4 击中击不中浏览</t>
  </si>
  <si>
    <t>第10章 图像分割</t>
  </si>
  <si>
    <t>（一）6 图像分割</t>
  </si>
  <si>
    <t>与第4章并列分值大户，全章核心：§10.2 边缘检测（Sobel/Canny）、§10.3 阈值（Otsu会推导）、§10.4 区域生长、§10.5 聚类、§10.6 图割、§10.7 分水岭；§10.8 运动分割跳过</t>
  </si>
  <si>
    <t>第11章 表示与描述</t>
  </si>
  <si>
    <t>★</t>
  </si>
  <si>
    <t>仅支撑CV章</t>
  </si>
  <si>
    <t>大纲不直接考。只读 §11.7 SIFT（为第8章CV简答储备），其余（链码、傅里叶描述子、纹理等）全部跳过</t>
  </si>
  <si>
    <t>2h（仅§11.7）</t>
  </si>
  <si>
    <t>第12章 目标识别</t>
  </si>
  <si>
    <t>（一）7 计算机视觉</t>
  </si>
  <si>
    <t>§12.1 背景 + §12.5 神经网络与深度学习 + §12.6 深度CNN 是CV简答出题源，务必通读；§12.2–12.4 浏览；§12.7 跳过</t>
  </si>
  <si>
    <t>4h（选节）</t>
  </si>
  <si>
    <t>一轮总用时约 80h。跳过第7、8章可直接省下约 60h——相当于多出 3 周的在职复习量。</t>
  </si>
  <si>
    <t>第三版缺口提醒（4个考点书里没有，需外部补充，按“理解”级准备）：① Hough变换（第二版§10.2.8或B站视频）；② 活动轮廓Snake（王一丁或Szeliski§8）；③ 几何变换与图像配准（第二版§5.11或王一丁）；④ 分割性能评价（王一丁）。</t>
  </si>
  <si>
    <t>855 数字图像处理 · 考点复习清单（60 项 · 含冈萨雷斯第三版出处）</t>
  </si>
  <si>
    <t>要求层级：掌=掌握（会算会推导，红）｜理=理解（说清原理，橙）｜了=了解（知道概念，绿）。出处“冈 §x.y”指冈萨雷斯第三版中文版章节。完成后在“一轮/二轮/已掌握”列从下拉选择 ✓。</t>
  </si>
  <si>
    <t>各章进度汇总（自动统计，勿改公式）</t>
  </si>
  <si>
    <t>章节</t>
  </si>
  <si>
    <t>考点数</t>
  </si>
  <si>
    <t>一轮完成</t>
  </si>
  <si>
    <t>一轮进度</t>
  </si>
  <si>
    <t>二轮完成</t>
  </si>
  <si>
    <t>二轮进度</t>
  </si>
  <si>
    <t>掌握完成</t>
  </si>
  <si>
    <t>掌握进度</t>
  </si>
  <si>
    <t>第2章 图像增强·空间域</t>
  </si>
  <si>
    <t>第3章 图像增强·频率域（重难点）</t>
  </si>
  <si>
    <t>第4章 图像恢复</t>
  </si>
  <si>
    <t>第5章 彩色图像处理</t>
  </si>
  <si>
    <t>第6章 形态学图像处理</t>
  </si>
  <si>
    <t>第7章 图像分割</t>
  </si>
  <si>
    <t>第8章 计算机视觉（新增·注意简答）</t>
  </si>
  <si>
    <t>合计</t>
  </si>
  <si>
    <t>考点明细清单（含教材出处）</t>
  </si>
  <si>
    <t>序号</t>
  </si>
  <si>
    <t>考点内容</t>
  </si>
  <si>
    <t>教材出处（冈萨雷斯第三版）</t>
  </si>
  <si>
    <t>要求层级</t>
  </si>
  <si>
    <t>一轮</t>
  </si>
  <si>
    <t>二轮</t>
  </si>
  <si>
    <t>已掌握</t>
  </si>
  <si>
    <t>备注/掌握日期</t>
  </si>
  <si>
    <t>数字图像的定义、图像处理的目的和任务</t>
  </si>
  <si>
    <t>冈 §1.1、§1.4</t>
  </si>
  <si>
    <t>掌</t>
  </si>
  <si>
    <t>图像处理系统的硬件与软件组件</t>
  </si>
  <si>
    <t>冈 §1.5</t>
  </si>
  <si>
    <t>理</t>
  </si>
  <si>
    <t>图像处理的主要应用领域</t>
  </si>
  <si>
    <t>冈 §1.3</t>
  </si>
  <si>
    <t>了</t>
  </si>
  <si>
    <t>图像数字化：采样与量化（采样定理、量化级数与质量）</t>
  </si>
  <si>
    <t>冈 §2.4.1–2.4.2</t>
  </si>
  <si>
    <t>图像的基本表示方法（矩阵表示、灰度级）</t>
  </si>
  <si>
    <t>冈 §2.4.2</t>
  </si>
  <si>
    <t>像素间关系：邻域、邻接、连通性、距离度量</t>
  </si>
  <si>
    <t>冈 §2.5.1–2.5.3</t>
  </si>
  <si>
    <t>图像分辨率（空间/灰度）与动态范围</t>
  </si>
  <si>
    <t>冈 §2.4.4</t>
  </si>
  <si>
    <t>图像质量主客观评价（MSE、PSNR）</t>
  </si>
  <si>
    <t>冈 §2.4.4；PSNR见§8.1.5</t>
  </si>
  <si>
    <t>灰度变换：负片、对数、幂律（Gamma）</t>
  </si>
  <si>
    <t>冈 §3.2.1–3.2.4</t>
  </si>
  <si>
    <t>直方图处理：均衡化（会手算）、规定化</t>
  </si>
  <si>
    <t>冈 §3.3.1–3.3.4</t>
  </si>
  <si>
    <t>空间滤波原理：卷积与相关、模板操作</t>
  </si>
  <si>
    <t>冈 §3.4.1–3.4.5</t>
  </si>
  <si>
    <t>平滑滤波器：均值、高斯、中值（去椒盐）</t>
  </si>
  <si>
    <t>冈 §3.5.1–3.5.3</t>
  </si>
  <si>
    <t>锐化滤波器：拉普拉斯、梯度（Sobel）</t>
  </si>
  <si>
    <t>冈 §3.6.1–3.6.4</t>
  </si>
  <si>
    <t>傅里叶变换基本概念（频谱、幅度谱、相位谱）</t>
  </si>
  <si>
    <t>冈 §4.2、§4.6.5</t>
  </si>
  <si>
    <t>二维DFT与FFT基本原理</t>
  </si>
  <si>
    <t>冈 §4.4–4.5.5、§4.6、§4.11.3</t>
  </si>
  <si>
    <t>频率域滤波完整流程（中心化→DFT→滤波→IDFT）</t>
  </si>
  <si>
    <t>冈 §4.7.1–4.7.4</t>
  </si>
  <si>
    <t>低通、高通、带阻/带通滤波</t>
  </si>
  <si>
    <t>冈 §4.8、§4.9.1–4.9.3、§4.10.1</t>
  </si>
  <si>
    <t>同态滤波（原理与适用场景：光照不均）</t>
  </si>
  <si>
    <t>冈 §4.9.4</t>
  </si>
  <si>
    <t>滤波器设计：理想、巴特沃斯、高斯（振铃效应）</t>
  </si>
  <si>
    <t>冈 §4.8.1–4.8.3、§4.9.1</t>
  </si>
  <si>
    <t>图像退化模型（退化函数、加性噪声）</t>
  </si>
  <si>
    <t>冈 §5.1</t>
  </si>
  <si>
    <t>点扩散函数（PSF）原理及应用</t>
  </si>
  <si>
    <t>冈 §5.5、§5.6</t>
  </si>
  <si>
    <t>噪声模型：高斯、椒盐、泊松及统计特性</t>
  </si>
  <si>
    <t>冈 §5.2.1–5.2.2（泊松按§5.2.1扩展）</t>
  </si>
  <si>
    <t>图像质量退化评价方法</t>
  </si>
  <si>
    <t>冈 §5.2.4；见§2.4.4</t>
  </si>
  <si>
    <t>逆滤波的原理和局限性</t>
  </si>
  <si>
    <t>冈 §5.7</t>
  </si>
  <si>
    <t>维纳滤波（最小均方误差）基本原理</t>
  </si>
  <si>
    <t>冈 §5.8</t>
  </si>
  <si>
    <t>约束最小二乘滤波基本原理</t>
  </si>
  <si>
    <t>冈 §5.9（另§5.10几何平均浏览）</t>
  </si>
  <si>
    <t>几何变换与图像配准、灰度插值</t>
  </si>
  <si>
    <t>插值冈§2.4.5；变换/配准第三版无专节，参第二版§5.11或王一丁</t>
  </si>
  <si>
    <t>图像重建基本方法（Radon/断层重建思想）</t>
  </si>
  <si>
    <t>冈 §5.11.2–5.11.5</t>
  </si>
  <si>
    <t>彩色基础（三原色、亮度/色调/饱和度）</t>
  </si>
  <si>
    <t>冈 §6.1</t>
  </si>
  <si>
    <t>RGB 模型基本原理</t>
  </si>
  <si>
    <t>冈 §6.2.1</t>
  </si>
  <si>
    <t>CMY/CMYK 模型基本原理</t>
  </si>
  <si>
    <t>冈 §6.2.2</t>
  </si>
  <si>
    <t>HSI 模型基本原理</t>
  </si>
  <si>
    <t>冈 §6.2.3</t>
  </si>
  <si>
    <t>各彩色模型之间的转换（手算 RGB↔HSI）</t>
  </si>
  <si>
    <t>冈 §6.2.3（转换公式）</t>
  </si>
  <si>
    <t>彩色图像分割的基本方法</t>
  </si>
  <si>
    <t>冈 §6.7.1–6.7.3</t>
  </si>
  <si>
    <t>彩色图像压缩基本概念</t>
  </si>
  <si>
    <t>冈 §6.9（第8章压缩正文不考）</t>
  </si>
  <si>
    <t>伪彩色处理（强度-彩色变换、灰度层彩色编码）</t>
  </si>
  <si>
    <t>冈 §6.3.1–6.3.2</t>
  </si>
  <si>
    <t>全彩色处理基本操作</t>
  </si>
  <si>
    <t>冈 §6.4–6.6</t>
  </si>
  <si>
    <t>二值形态学：腐蚀、膨胀、开、闭（会画图演算）</t>
  </si>
  <si>
    <t>冈 §9.2.1–9.2.3、§9.3</t>
  </si>
  <si>
    <t>灰度形态学基本原理和方法</t>
  </si>
  <si>
    <t>冈 §9.8.1–9.8.2</t>
  </si>
  <si>
    <t>结构元素的设计方法及影响</t>
  </si>
  <si>
    <t>冈 §9.1</t>
  </si>
  <si>
    <t>形态学应用：边界提取、区域填充、骨架化</t>
  </si>
  <si>
    <t>冈 §9.5.1、§9.5.2、§9.5.7</t>
  </si>
  <si>
    <t>形态学重建（测地腐蚀/膨胀）</t>
  </si>
  <si>
    <t>冈 §9.6.1–9.6.3</t>
  </si>
  <si>
    <t>粒度测定基本方法</t>
  </si>
  <si>
    <t>冈 §9.8.3</t>
  </si>
  <si>
    <t>形态学滤波基本原理和方法</t>
  </si>
  <si>
    <t>冈 §9.8.2–9.8.3</t>
  </si>
  <si>
    <t>形态学在图像分割中的应用</t>
  </si>
  <si>
    <t>冈 §9.5 + §10.7</t>
  </si>
  <si>
    <t>分割的定义与评价</t>
  </si>
  <si>
    <t>冈 §10.1</t>
  </si>
  <si>
    <t>阈值分割：全局、基本全局迭代、Otsu</t>
  </si>
  <si>
    <t>冈 §10.3.1–10.3.7（重点§10.3.2–10.3.3）</t>
  </si>
  <si>
    <t>区域分割：区域生长、分裂与合并</t>
  </si>
  <si>
    <t>冈 §10.4.1–10.4.2</t>
  </si>
  <si>
    <t>边缘分割：边缘检测、边缘连接、Hough</t>
  </si>
  <si>
    <t>冈 §10.2.4–10.2.7；Hough第三版无专节参第二版§10.2.8</t>
  </si>
  <si>
    <t>聚类分割（K-means 等）</t>
  </si>
  <si>
    <t>冈 §10.5.1–10.5.2（含超像素）</t>
  </si>
  <si>
    <t>活动轮廓模型（Snake）基本原理</t>
  </si>
  <si>
    <t>第三版无专节；见Szeliski或王一丁</t>
  </si>
  <si>
    <t>图割分割（Graph Cut）基本思想</t>
  </si>
  <si>
    <t>冈 §10.6.1–10.6.4</t>
  </si>
  <si>
    <t>分水岭分割与过分割控制（标记分水岭）</t>
  </si>
  <si>
    <t>冈 §10.7.1–10.7.4（重点§10.7.4）</t>
  </si>
  <si>
    <t>分割性能评价方法</t>
  </si>
  <si>
    <t>第三版无专节；概念见§10.1，补充王一丁</t>
  </si>
  <si>
    <t>计算机视觉的基本概念与核心任务</t>
  </si>
  <si>
    <t>冈 §12.1；扩展Szeliski第1章</t>
  </si>
  <si>
    <t>计算机视觉的典型适用场景</t>
  </si>
  <si>
    <t>冈 §1.3、§12.1</t>
  </si>
  <si>
    <t>传统方法 vs 深度学习的适用范围与区别（高频简答）</t>
  </si>
  <si>
    <t>冈 §12.5.1 + §12.5–12.6综合</t>
  </si>
  <si>
    <t>常用CV模型与关键技术（特征提取、检测、分类）</t>
  </si>
  <si>
    <t>冈 §11.7(SIFT)、§12.3、§12.4</t>
  </si>
  <si>
    <t>计算机视觉应用实例</t>
  </si>
  <si>
    <t>冈 §12.3.3、§12.7</t>
  </si>
  <si>
    <t>深度学习原理（CNN结构）及CV应用</t>
  </si>
  <si>
    <t>冈 §12.5.2–12.5.5、§12.6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</si>
</sst>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天&quot;"/>
  </numFmts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微软雅黑"/>
    </font>
    <font>
      <b/>
      <color rgb="FFFFFFFF"/>
      <sz val="11"/>
      <name val="微软雅黑"/>
    </font>
    <font>
      <b/>
      <sz val="10"/>
      <name val="微软雅黑"/>
    </font>
    <font>
      <sz val="10"/>
      <name val="微软雅黑"/>
    </font>
    <font>
      <b/>
      <color rgb="FFC00000"/>
      <sz val="10"/>
      <name val="微软雅黑"/>
    </font>
    <font>
      <i/>
      <color rgb="FF808080"/>
      <sz val="10"/>
      <name val="微软雅黑"/>
    </font>
    <font>
      <i/>
      <color rgb="FF808080"/>
      <sz val="9"/>
      <name val="微软雅黑"/>
    </font>
    <font>
      <b/>
      <color rgb="FFED7D31"/>
      <sz val="10"/>
      <name val="微软雅黑"/>
    </font>
    <font>
      <b/>
      <color rgb="FF808080"/>
      <sz val="10"/>
      <name val="微软雅黑"/>
    </font>
    <font>
      <b/>
      <color rgb="FF4472C4"/>
      <sz val="10"/>
      <name val="微软雅黑"/>
    </font>
    <font>
      <color rgb="FFC00000"/>
      <sz val="10"/>
      <name val="微软雅黑"/>
    </font>
    <font>
      <color rgb="FF7F7F7F"/>
      <sz val="9"/>
      <name val="微软雅黑"/>
    </font>
    <font>
      <b/>
      <color rgb="FF70AD47"/>
      <sz val="1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9" fontId="3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4" customWidth="1"/>
    <col min="3" max="3" width="30" customWidth="1"/>
    <col min="4" max="4" width="46" customWidth="1"/>
    <col min="5" max="5" width="16" customWidth="1"/>
    <col min="6" max="6" width="2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5" t="s">
        <v>4</v>
      </c>
      <c r="B5" s="6" t="s">
        <v>5</v>
      </c>
      <c r="C5" s="6"/>
      <c r="D5" s="6"/>
      <c r="E5" s="6"/>
      <c r="F5" s="6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7" spans="1:6" x14ac:dyDescent="0.25">
      <c r="A7" s="5" t="s">
        <v>8</v>
      </c>
      <c r="B7" s="7">
        <f>DATE(2026,12,19)-TODAY()</f>
      </c>
      <c r="C7" s="7"/>
      <c r="D7" s="7"/>
      <c r="E7" s="7"/>
      <c r="F7" s="7"/>
    </row>
    <row r="8" spans="1:6" x14ac:dyDescent="0.25">
      <c r="A8" s="3" t="s">
        <v>9</v>
      </c>
      <c r="B8" s="4" t="s">
        <v>10</v>
      </c>
      <c r="C8" s="4"/>
      <c r="D8" s="4"/>
      <c r="E8" s="4"/>
      <c r="F8" s="4"/>
    </row>
    <row r="9" spans="1:6" x14ac:dyDescent="0.25">
      <c r="A9" s="5" t="s">
        <v>11</v>
      </c>
      <c r="B9" s="6" t="s">
        <v>12</v>
      </c>
      <c r="C9" s="6"/>
      <c r="D9" s="6"/>
      <c r="E9" s="6"/>
      <c r="F9" s="6"/>
    </row>
    <row r="11" ht="20" customHeight="1" spans="1:6" x14ac:dyDescent="0.25">
      <c r="A11" s="2" t="s">
        <v>13</v>
      </c>
      <c r="B11" s="2"/>
      <c r="C11" s="2"/>
      <c r="D11" s="2"/>
      <c r="E11" s="2"/>
      <c r="F11" s="2"/>
    </row>
    <row r="12" ht="22" customHeight="1" spans="1:6" x14ac:dyDescent="0.25">
      <c r="A12" s="8" t="s">
        <v>14</v>
      </c>
      <c r="B12" s="8" t="s">
        <v>15</v>
      </c>
      <c r="C12" s="8" t="s">
        <v>16</v>
      </c>
      <c r="D12" s="8" t="s">
        <v>17</v>
      </c>
      <c r="E12" s="8" t="s">
        <v>18</v>
      </c>
      <c r="F12" s="8" t="s">
        <v>19</v>
      </c>
    </row>
    <row r="13" spans="1:6" x14ac:dyDescent="0.25">
      <c r="A13" s="9" t="s">
        <v>20</v>
      </c>
      <c r="B13" s="4" t="s">
        <v>21</v>
      </c>
      <c r="C13" s="9" t="s">
        <v>22</v>
      </c>
      <c r="D13" s="4" t="s">
        <v>23</v>
      </c>
      <c r="E13" s="9" t="s">
        <v>24</v>
      </c>
      <c r="F13" s="4" t="s">
        <v>25</v>
      </c>
    </row>
    <row r="14" spans="1:6" x14ac:dyDescent="0.25">
      <c r="A14" s="10" t="s">
        <v>26</v>
      </c>
      <c r="B14" s="6" t="s">
        <v>27</v>
      </c>
      <c r="C14" s="10" t="s">
        <v>28</v>
      </c>
      <c r="D14" s="6" t="s">
        <v>23</v>
      </c>
      <c r="E14" s="10" t="s">
        <v>24</v>
      </c>
      <c r="F14" s="6" t="s">
        <v>29</v>
      </c>
    </row>
    <row r="15" spans="1:6" x14ac:dyDescent="0.25">
      <c r="A15" s="9" t="s">
        <v>30</v>
      </c>
      <c r="B15" s="4" t="s">
        <v>31</v>
      </c>
      <c r="C15" s="9" t="s">
        <v>32</v>
      </c>
      <c r="D15" s="4" t="s">
        <v>23</v>
      </c>
      <c r="E15" s="9" t="s">
        <v>33</v>
      </c>
      <c r="F15" s="4" t="s">
        <v>34</v>
      </c>
    </row>
    <row r="16" spans="1:6" x14ac:dyDescent="0.25">
      <c r="A16" s="10" t="s">
        <v>35</v>
      </c>
      <c r="B16" s="6" t="s">
        <v>36</v>
      </c>
      <c r="C16" s="10" t="s">
        <v>37</v>
      </c>
      <c r="D16" s="6" t="s">
        <v>38</v>
      </c>
      <c r="E16" s="10" t="s">
        <v>33</v>
      </c>
      <c r="F16" s="6" t="s">
        <v>39</v>
      </c>
    </row>
    <row r="18" ht="20" customHeight="1" spans="1:6" x14ac:dyDescent="0.25">
      <c r="A18" s="2" t="s">
        <v>40</v>
      </c>
      <c r="B18" s="2"/>
      <c r="C18" s="2"/>
      <c r="D18" s="2"/>
      <c r="E18" s="2"/>
      <c r="F18" s="2"/>
    </row>
    <row r="19" ht="22" customHeight="1" spans="1:6" x14ac:dyDescent="0.25">
      <c r="A19" s="8" t="s">
        <v>41</v>
      </c>
      <c r="B19" s="8" t="s">
        <v>42</v>
      </c>
      <c r="C19" s="8" t="s">
        <v>43</v>
      </c>
      <c r="D19" s="8" t="s">
        <v>31</v>
      </c>
      <c r="E19" s="8" t="s">
        <v>27</v>
      </c>
      <c r="F19" s="8" t="s">
        <v>44</v>
      </c>
    </row>
    <row r="20" ht="42" customHeight="1" spans="1:6" x14ac:dyDescent="0.25">
      <c r="A20" s="9" t="s">
        <v>45</v>
      </c>
      <c r="B20" s="9" t="s">
        <v>46</v>
      </c>
      <c r="C20" s="4" t="s">
        <v>47</v>
      </c>
      <c r="D20" s="4" t="s">
        <v>48</v>
      </c>
      <c r="E20" s="4" t="s">
        <v>49</v>
      </c>
      <c r="F20" s="4" t="s">
        <v>50</v>
      </c>
    </row>
    <row r="21" ht="42" customHeight="1" spans="1:6" x14ac:dyDescent="0.25">
      <c r="A21" s="10" t="s">
        <v>51</v>
      </c>
      <c r="B21" s="10" t="s">
        <v>52</v>
      </c>
      <c r="C21" s="6" t="s">
        <v>53</v>
      </c>
      <c r="D21" s="6" t="s">
        <v>54</v>
      </c>
      <c r="E21" s="6" t="s">
        <v>55</v>
      </c>
      <c r="F21" s="6" t="s">
        <v>56</v>
      </c>
    </row>
    <row r="22" ht="42" customHeight="1" spans="1:6" x14ac:dyDescent="0.25">
      <c r="A22" s="9" t="s">
        <v>57</v>
      </c>
      <c r="B22" s="9" t="s">
        <v>58</v>
      </c>
      <c r="C22" s="4" t="s">
        <v>59</v>
      </c>
      <c r="D22" s="4" t="s">
        <v>60</v>
      </c>
      <c r="E22" s="4" t="s">
        <v>61</v>
      </c>
      <c r="F22" s="4" t="s">
        <v>62</v>
      </c>
    </row>
    <row r="24" ht="20" customHeight="1" spans="1:6" x14ac:dyDescent="0.25">
      <c r="A24" s="2" t="s">
        <v>63</v>
      </c>
      <c r="B24" s="2"/>
      <c r="C24" s="2"/>
      <c r="D24" s="2"/>
      <c r="E24" s="2"/>
      <c r="F24" s="2"/>
    </row>
    <row r="25" ht="22" customHeight="1" spans="1:6" x14ac:dyDescent="0.25">
      <c r="A25" s="8" t="s">
        <v>64</v>
      </c>
      <c r="B25" s="8" t="s">
        <v>15</v>
      </c>
      <c r="C25" s="8" t="s">
        <v>65</v>
      </c>
      <c r="D25" s="8" t="s">
        <v>66</v>
      </c>
      <c r="E25" s="8" t="s">
        <v>67</v>
      </c>
      <c r="F25" s="8" t="s">
        <v>67</v>
      </c>
    </row>
    <row r="26" spans="1:6" x14ac:dyDescent="0.25">
      <c r="A26" s="9" t="s">
        <v>68</v>
      </c>
      <c r="B26" s="4" t="s">
        <v>31</v>
      </c>
      <c r="C26" s="9" t="s">
        <v>69</v>
      </c>
      <c r="D26" s="4" t="s">
        <v>67</v>
      </c>
      <c r="E26" s="4"/>
      <c r="F26" s="4"/>
    </row>
    <row r="27" spans="1:6" x14ac:dyDescent="0.25">
      <c r="A27" s="10" t="s">
        <v>70</v>
      </c>
      <c r="B27" s="6" t="s">
        <v>71</v>
      </c>
      <c r="C27" s="10" t="s">
        <v>72</v>
      </c>
      <c r="D27" s="6" t="s">
        <v>67</v>
      </c>
      <c r="E27" s="6"/>
      <c r="F27" s="6"/>
    </row>
    <row r="28" spans="1:6" x14ac:dyDescent="0.25">
      <c r="A28" s="9" t="s">
        <v>73</v>
      </c>
      <c r="B28" s="4" t="s">
        <v>74</v>
      </c>
      <c r="C28" s="9" t="s">
        <v>75</v>
      </c>
      <c r="D28" s="4" t="s">
        <v>67</v>
      </c>
      <c r="E28" s="4"/>
      <c r="F28" s="4"/>
    </row>
    <row r="29" spans="1:6" x14ac:dyDescent="0.25">
      <c r="A29" s="10" t="s">
        <v>76</v>
      </c>
      <c r="B29" s="6" t="s">
        <v>77</v>
      </c>
      <c r="C29" s="10" t="s">
        <v>78</v>
      </c>
      <c r="D29" s="6" t="s">
        <v>67</v>
      </c>
      <c r="E29" s="6"/>
      <c r="F29" s="6"/>
    </row>
    <row r="30" spans="1:6" x14ac:dyDescent="0.25">
      <c r="A30" s="9" t="s">
        <v>79</v>
      </c>
      <c r="B30" s="4" t="s">
        <v>80</v>
      </c>
      <c r="C30" s="9" t="s">
        <v>81</v>
      </c>
      <c r="D30" s="4" t="s">
        <v>67</v>
      </c>
      <c r="E30" s="4"/>
      <c r="F30" s="4"/>
    </row>
    <row r="31" spans="1:6" x14ac:dyDescent="0.25">
      <c r="A31" s="10" t="s">
        <v>82</v>
      </c>
      <c r="B31" s="6" t="s">
        <v>83</v>
      </c>
      <c r="C31" s="10" t="s">
        <v>84</v>
      </c>
      <c r="D31" s="6" t="s">
        <v>67</v>
      </c>
      <c r="E31" s="6"/>
      <c r="F31" s="6"/>
    </row>
    <row r="32" spans="1:6" x14ac:dyDescent="0.25">
      <c r="A32" s="9" t="s">
        <v>85</v>
      </c>
      <c r="B32" s="4" t="s">
        <v>86</v>
      </c>
      <c r="C32" s="9" t="s">
        <v>72</v>
      </c>
      <c r="D32" s="4" t="s">
        <v>67</v>
      </c>
      <c r="E32" s="4"/>
      <c r="F32" s="4"/>
    </row>
    <row r="34" ht="20" customHeight="1" spans="1:6" x14ac:dyDescent="0.25">
      <c r="A34" s="2" t="s">
        <v>87</v>
      </c>
      <c r="B34" s="2"/>
      <c r="C34" s="2"/>
      <c r="D34" s="2"/>
      <c r="E34" s="2"/>
      <c r="F34" s="2"/>
    </row>
    <row r="35" ht="22" customHeight="1" spans="1:6" x14ac:dyDescent="0.25">
      <c r="A35" s="8" t="s">
        <v>64</v>
      </c>
      <c r="B35" s="8" t="s">
        <v>15</v>
      </c>
      <c r="C35" s="8" t="s">
        <v>65</v>
      </c>
      <c r="D35" s="8" t="s">
        <v>66</v>
      </c>
      <c r="E35" s="8" t="s">
        <v>67</v>
      </c>
      <c r="F35" s="8" t="s">
        <v>67</v>
      </c>
    </row>
    <row r="36" spans="1:6" x14ac:dyDescent="0.25">
      <c r="A36" s="9" t="s">
        <v>88</v>
      </c>
      <c r="B36" s="4" t="s">
        <v>31</v>
      </c>
      <c r="C36" s="9" t="s">
        <v>89</v>
      </c>
      <c r="D36" s="4" t="s">
        <v>67</v>
      </c>
      <c r="E36" s="4"/>
      <c r="F36" s="4"/>
    </row>
    <row r="37" spans="1:6" x14ac:dyDescent="0.25">
      <c r="A37" s="10" t="s">
        <v>90</v>
      </c>
      <c r="B37" s="6" t="s">
        <v>91</v>
      </c>
      <c r="C37" s="10" t="s">
        <v>92</v>
      </c>
      <c r="D37" s="6" t="s">
        <v>67</v>
      </c>
      <c r="E37" s="6"/>
      <c r="F37" s="6"/>
    </row>
    <row r="38" spans="1:6" x14ac:dyDescent="0.25">
      <c r="A38" s="9" t="s">
        <v>93</v>
      </c>
      <c r="B38" s="4" t="s">
        <v>80</v>
      </c>
      <c r="C38" s="9" t="s">
        <v>81</v>
      </c>
      <c r="D38" s="4" t="s">
        <v>67</v>
      </c>
      <c r="E38" s="4"/>
      <c r="F38" s="4"/>
    </row>
    <row r="39" spans="1:6" x14ac:dyDescent="0.25">
      <c r="A39" s="10" t="s">
        <v>94</v>
      </c>
      <c r="B39" s="6" t="s">
        <v>44</v>
      </c>
      <c r="C39" s="10" t="s">
        <v>84</v>
      </c>
      <c r="D39" s="6" t="s">
        <v>67</v>
      </c>
      <c r="E39" s="6"/>
      <c r="F39" s="6"/>
    </row>
    <row r="41" ht="20" customHeight="1" spans="1:6" x14ac:dyDescent="0.25">
      <c r="A41" s="2" t="s">
        <v>95</v>
      </c>
      <c r="B41" s="2"/>
      <c r="C41" s="2"/>
      <c r="D41" s="2"/>
      <c r="E41" s="2"/>
      <c r="F41" s="2"/>
    </row>
    <row r="42" ht="30" customHeight="1" spans="1:6" x14ac:dyDescent="0.25">
      <c r="A42" s="3" t="s">
        <v>96</v>
      </c>
      <c r="B42" s="4" t="s">
        <v>97</v>
      </c>
      <c r="C42" s="4"/>
      <c r="D42" s="4"/>
      <c r="E42" s="4"/>
      <c r="F42" s="4"/>
    </row>
    <row r="43" ht="30" customHeight="1" spans="1:6" x14ac:dyDescent="0.25">
      <c r="A43" s="5" t="s">
        <v>98</v>
      </c>
      <c r="B43" s="6" t="s">
        <v>99</v>
      </c>
      <c r="C43" s="6"/>
      <c r="D43" s="6"/>
      <c r="E43" s="6"/>
      <c r="F43" s="6"/>
    </row>
    <row r="44" ht="30" customHeight="1" spans="1:6" x14ac:dyDescent="0.25">
      <c r="A44" s="3" t="s">
        <v>100</v>
      </c>
      <c r="B44" s="4" t="s">
        <v>101</v>
      </c>
      <c r="C44" s="4"/>
      <c r="D44" s="4"/>
      <c r="E44" s="4"/>
      <c r="F44" s="4"/>
    </row>
    <row r="45" ht="30" customHeight="1" spans="1:6" x14ac:dyDescent="0.25">
      <c r="A45" s="5" t="s">
        <v>44</v>
      </c>
      <c r="B45" s="6" t="s">
        <v>102</v>
      </c>
      <c r="C45" s="6"/>
      <c r="D45" s="6"/>
      <c r="E45" s="6"/>
      <c r="F45" s="6"/>
    </row>
    <row r="46" ht="30" customHeight="1" spans="1:6" x14ac:dyDescent="0.25">
      <c r="A46" s="3" t="s">
        <v>103</v>
      </c>
      <c r="B46" s="4" t="s">
        <v>104</v>
      </c>
      <c r="C46" s="4"/>
      <c r="D46" s="4"/>
      <c r="E46" s="4"/>
      <c r="F46" s="4"/>
    </row>
    <row r="48" ht="20" customHeight="1" spans="1:6" x14ac:dyDescent="0.25">
      <c r="A48" s="2" t="s">
        <v>105</v>
      </c>
      <c r="B48" s="2"/>
      <c r="C48" s="2"/>
      <c r="D48" s="2"/>
      <c r="E48" s="2"/>
      <c r="F48" s="2"/>
    </row>
    <row r="49" ht="24" customHeight="1" spans="1:6" x14ac:dyDescent="0.25">
      <c r="A49" s="11" t="s">
        <v>106</v>
      </c>
      <c r="B49" s="11"/>
      <c r="C49" s="11"/>
      <c r="D49" s="11"/>
      <c r="E49" s="11"/>
      <c r="F49" s="11"/>
    </row>
    <row r="50" ht="24" customHeight="1" spans="1:6" x14ac:dyDescent="0.25">
      <c r="A50" s="11" t="s">
        <v>107</v>
      </c>
      <c r="B50" s="11"/>
      <c r="C50" s="11"/>
      <c r="D50" s="11"/>
      <c r="E50" s="11"/>
      <c r="F50" s="11"/>
    </row>
    <row r="51" ht="24" customHeight="1" spans="1:6" x14ac:dyDescent="0.25">
      <c r="A51" s="11" t="s">
        <v>108</v>
      </c>
      <c r="B51" s="11"/>
      <c r="C51" s="11"/>
      <c r="D51" s="11"/>
      <c r="E51" s="11"/>
      <c r="F51" s="11"/>
    </row>
    <row r="52" ht="24" customHeight="1" spans="1:6" x14ac:dyDescent="0.25">
      <c r="A52" s="11" t="s">
        <v>109</v>
      </c>
      <c r="B52" s="11"/>
      <c r="C52" s="11"/>
      <c r="D52" s="11"/>
      <c r="E52" s="11"/>
      <c r="F52" s="11"/>
    </row>
    <row r="53" ht="24" customHeight="1" spans="1:6" x14ac:dyDescent="0.25">
      <c r="A53" s="11" t="s">
        <v>110</v>
      </c>
      <c r="B53" s="11"/>
      <c r="C53" s="11"/>
      <c r="D53" s="11"/>
      <c r="E53" s="11"/>
      <c r="F53" s="11"/>
    </row>
  </sheetData>
  <mergeCells count="35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A18:F18"/>
    <mergeCell ref="A24:F24"/>
    <mergeCell ref="D26:F26"/>
    <mergeCell ref="D27:F27"/>
    <mergeCell ref="D28:F28"/>
    <mergeCell ref="D29:F29"/>
    <mergeCell ref="D30:F30"/>
    <mergeCell ref="D31:F31"/>
    <mergeCell ref="D32:F32"/>
    <mergeCell ref="A34:F34"/>
    <mergeCell ref="D36:F36"/>
    <mergeCell ref="D37:F37"/>
    <mergeCell ref="D38:F38"/>
    <mergeCell ref="D39:F39"/>
    <mergeCell ref="A41:F41"/>
    <mergeCell ref="B42:F42"/>
    <mergeCell ref="B43:F43"/>
    <mergeCell ref="B44:F44"/>
    <mergeCell ref="B45:F45"/>
    <mergeCell ref="B46:F46"/>
    <mergeCell ref="A48:F48"/>
    <mergeCell ref="A49:F49"/>
    <mergeCell ref="A50:F50"/>
    <mergeCell ref="A51:F51"/>
    <mergeCell ref="A52:F52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6" customWidth="1"/>
    <col min="4" max="4" width="22" customWidth="1"/>
    <col min="5" max="5" width="20" customWidth="1"/>
    <col min="6" max="6" width="40" customWidth="1"/>
    <col min="7" max="7" width="24" customWidth="1"/>
    <col min="8" max="8" width="12" customWidth="1"/>
  </cols>
  <sheetData>
    <row r="1" ht="28" customHeight="1" spans="1:8" x14ac:dyDescent="0.25">
      <c r="A1" s="1" t="s">
        <v>111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112</v>
      </c>
      <c r="B2" s="12">
        <f>COUNTIF($H$4:$H$15,"已完成")&amp;" / 12 个节点已完成"</f>
      </c>
      <c r="C2" s="12"/>
      <c r="D2" s="12"/>
      <c r="E2" s="3" t="s">
        <v>113</v>
      </c>
      <c r="F2" s="13">
        <f>COUNTIF($H$4:$H$15,"已完成")/12</f>
      </c>
      <c r="G2" s="14" t="s">
        <v>114</v>
      </c>
      <c r="H2" s="14"/>
    </row>
    <row r="3" ht="22" customHeight="1" spans="1:8" x14ac:dyDescent="0.25">
      <c r="A3" s="8" t="s">
        <v>115</v>
      </c>
      <c r="B3" s="8" t="s">
        <v>116</v>
      </c>
      <c r="C3" s="8" t="s">
        <v>31</v>
      </c>
      <c r="D3" s="8" t="s">
        <v>27</v>
      </c>
      <c r="E3" s="8" t="s">
        <v>44</v>
      </c>
      <c r="F3" s="8" t="s">
        <v>117</v>
      </c>
      <c r="G3" s="8" t="s">
        <v>118</v>
      </c>
      <c r="H3" s="8" t="s">
        <v>119</v>
      </c>
    </row>
    <row r="4" ht="46" customHeight="1" spans="1:8" x14ac:dyDescent="0.25">
      <c r="A4" s="9" t="s">
        <v>120</v>
      </c>
      <c r="B4" s="9" t="s">
        <v>121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126</v>
      </c>
      <c r="H4" s="9" t="s">
        <v>127</v>
      </c>
    </row>
    <row r="5" ht="46" customHeight="1" spans="1:8" x14ac:dyDescent="0.25">
      <c r="A5" s="10" t="s">
        <v>128</v>
      </c>
      <c r="B5" s="10" t="s">
        <v>129</v>
      </c>
      <c r="C5" s="6" t="s">
        <v>130</v>
      </c>
      <c r="D5" s="6" t="s">
        <v>131</v>
      </c>
      <c r="E5" s="6" t="s">
        <v>132</v>
      </c>
      <c r="F5" s="6" t="s">
        <v>133</v>
      </c>
      <c r="G5" s="6" t="s">
        <v>134</v>
      </c>
      <c r="H5" s="10" t="s">
        <v>127</v>
      </c>
    </row>
    <row r="6" ht="46" customHeight="1" spans="1:8" x14ac:dyDescent="0.25">
      <c r="A6" s="9" t="s">
        <v>135</v>
      </c>
      <c r="B6" s="9" t="s">
        <v>136</v>
      </c>
      <c r="C6" s="4" t="s">
        <v>137</v>
      </c>
      <c r="D6" s="4" t="s">
        <v>138</v>
      </c>
      <c r="E6" s="4" t="s">
        <v>139</v>
      </c>
      <c r="F6" s="4" t="s">
        <v>140</v>
      </c>
      <c r="G6" s="4" t="s">
        <v>141</v>
      </c>
      <c r="H6" s="9" t="s">
        <v>127</v>
      </c>
    </row>
    <row r="7" ht="46" customHeight="1" spans="1:8" x14ac:dyDescent="0.25">
      <c r="A7" s="10" t="s">
        <v>142</v>
      </c>
      <c r="B7" s="10" t="s">
        <v>143</v>
      </c>
      <c r="C7" s="6" t="s">
        <v>144</v>
      </c>
      <c r="D7" s="6" t="s">
        <v>145</v>
      </c>
      <c r="E7" s="6" t="s">
        <v>146</v>
      </c>
      <c r="F7" s="6" t="s">
        <v>147</v>
      </c>
      <c r="G7" s="6" t="s">
        <v>148</v>
      </c>
      <c r="H7" s="10" t="s">
        <v>127</v>
      </c>
    </row>
    <row r="8" ht="46" customHeight="1" spans="1:8" x14ac:dyDescent="0.25">
      <c r="A8" s="9" t="s">
        <v>149</v>
      </c>
      <c r="B8" s="9" t="s">
        <v>150</v>
      </c>
      <c r="C8" s="4" t="s">
        <v>151</v>
      </c>
      <c r="D8" s="4" t="s">
        <v>152</v>
      </c>
      <c r="E8" s="4" t="s">
        <v>153</v>
      </c>
      <c r="F8" s="4" t="s">
        <v>154</v>
      </c>
      <c r="G8" s="4" t="s">
        <v>155</v>
      </c>
      <c r="H8" s="9" t="s">
        <v>127</v>
      </c>
    </row>
    <row r="9" ht="46" customHeight="1" spans="1:8" x14ac:dyDescent="0.25">
      <c r="A9" s="10" t="s">
        <v>156</v>
      </c>
      <c r="B9" s="10" t="s">
        <v>157</v>
      </c>
      <c r="C9" s="6" t="s">
        <v>158</v>
      </c>
      <c r="D9" s="6" t="s">
        <v>159</v>
      </c>
      <c r="E9" s="6" t="s">
        <v>160</v>
      </c>
      <c r="F9" s="6" t="s">
        <v>161</v>
      </c>
      <c r="G9" s="6" t="s">
        <v>162</v>
      </c>
      <c r="H9" s="10" t="s">
        <v>127</v>
      </c>
    </row>
    <row r="10" ht="46" customHeight="1" spans="1:8" x14ac:dyDescent="0.25">
      <c r="A10" s="9" t="s">
        <v>163</v>
      </c>
      <c r="B10" s="9" t="s">
        <v>164</v>
      </c>
      <c r="C10" s="4" t="s">
        <v>165</v>
      </c>
      <c r="D10" s="4" t="s">
        <v>166</v>
      </c>
      <c r="E10" s="4" t="s">
        <v>167</v>
      </c>
      <c r="F10" s="4" t="s">
        <v>168</v>
      </c>
      <c r="G10" s="4" t="s">
        <v>169</v>
      </c>
      <c r="H10" s="9" t="s">
        <v>127</v>
      </c>
    </row>
    <row r="11" ht="46" customHeight="1" spans="1:8" x14ac:dyDescent="0.25">
      <c r="A11" s="10" t="s">
        <v>170</v>
      </c>
      <c r="B11" s="10" t="s">
        <v>171</v>
      </c>
      <c r="C11" s="6" t="s">
        <v>172</v>
      </c>
      <c r="D11" s="6" t="s">
        <v>173</v>
      </c>
      <c r="E11" s="6" t="s">
        <v>174</v>
      </c>
      <c r="F11" s="6" t="s">
        <v>175</v>
      </c>
      <c r="G11" s="6" t="s">
        <v>176</v>
      </c>
      <c r="H11" s="10" t="s">
        <v>127</v>
      </c>
    </row>
    <row r="12" ht="46" customHeight="1" spans="1:8" x14ac:dyDescent="0.25">
      <c r="A12" s="9" t="s">
        <v>177</v>
      </c>
      <c r="B12" s="9" t="s">
        <v>178</v>
      </c>
      <c r="C12" s="4" t="s">
        <v>179</v>
      </c>
      <c r="D12" s="4" t="s">
        <v>180</v>
      </c>
      <c r="E12" s="4" t="s">
        <v>181</v>
      </c>
      <c r="F12" s="4" t="s">
        <v>182</v>
      </c>
      <c r="G12" s="4" t="s">
        <v>183</v>
      </c>
      <c r="H12" s="9" t="s">
        <v>127</v>
      </c>
    </row>
    <row r="13" ht="46" customHeight="1" spans="1:8" x14ac:dyDescent="0.25">
      <c r="A13" s="10" t="s">
        <v>184</v>
      </c>
      <c r="B13" s="10" t="s">
        <v>185</v>
      </c>
      <c r="C13" s="6" t="s">
        <v>186</v>
      </c>
      <c r="D13" s="6" t="s">
        <v>187</v>
      </c>
      <c r="E13" s="6" t="s">
        <v>188</v>
      </c>
      <c r="F13" s="6" t="s">
        <v>189</v>
      </c>
      <c r="G13" s="6" t="s">
        <v>190</v>
      </c>
      <c r="H13" s="10" t="s">
        <v>127</v>
      </c>
    </row>
    <row r="14" ht="46" customHeight="1" spans="1:8" x14ac:dyDescent="0.25">
      <c r="A14" s="9" t="s">
        <v>191</v>
      </c>
      <c r="B14" s="9" t="s">
        <v>192</v>
      </c>
      <c r="C14" s="4" t="s">
        <v>193</v>
      </c>
      <c r="D14" s="4" t="s">
        <v>194</v>
      </c>
      <c r="E14" s="4" t="s">
        <v>195</v>
      </c>
      <c r="F14" s="4" t="s">
        <v>196</v>
      </c>
      <c r="G14" s="4" t="s">
        <v>197</v>
      </c>
      <c r="H14" s="9" t="s">
        <v>127</v>
      </c>
    </row>
    <row r="15" ht="46" customHeight="1" spans="1:8" x14ac:dyDescent="0.25">
      <c r="A15" s="10" t="s">
        <v>198</v>
      </c>
      <c r="B15" s="10" t="s">
        <v>199</v>
      </c>
      <c r="C15" s="6" t="s">
        <v>200</v>
      </c>
      <c r="D15" s="6" t="s">
        <v>201</v>
      </c>
      <c r="E15" s="6" t="s">
        <v>202</v>
      </c>
      <c r="F15" s="6" t="s">
        <v>203</v>
      </c>
      <c r="G15" s="6" t="s">
        <v>204</v>
      </c>
      <c r="H15" s="10" t="s">
        <v>127</v>
      </c>
    </row>
    <row r="17" spans="1:8" x14ac:dyDescent="0.25">
      <c r="A17" s="15" t="s">
        <v>205</v>
      </c>
      <c r="B17" s="15"/>
      <c r="C17" s="15"/>
      <c r="D17" s="15"/>
      <c r="E17" s="15"/>
      <c r="F17" s="15"/>
      <c r="G17" s="15"/>
      <c r="H17" s="15"/>
    </row>
  </sheetData>
  <mergeCells count="4">
    <mergeCell ref="A1:H1"/>
    <mergeCell ref="B2:D2"/>
    <mergeCell ref="G2:H2"/>
    <mergeCell ref="A17:H17"/>
  </mergeCells>
  <dataValidations count="1">
    <dataValidation type="list" allowBlank="1" sqref="H4:H15">
      <formula1>"未开始,进行中,已完成"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showGridLines="0"/>
  </sheetViews>
  <sheetFormatPr defaultRowHeight="15" outlineLevelRow="0" outlineLevelCol="0" x14ac:dyDescent="55"/>
  <cols>
    <col min="1" max="3" width="16" customWidth="1"/>
    <col min="4" max="4" width="62" customWidth="1"/>
    <col min="5" max="5" width="14" customWidth="1"/>
  </cols>
  <sheetData>
    <row r="1" ht="28" customHeight="1" spans="1:5" x14ac:dyDescent="0.25">
      <c r="A1" s="1" t="s">
        <v>206</v>
      </c>
      <c r="B1" s="1"/>
      <c r="C1" s="1"/>
      <c r="D1" s="1"/>
      <c r="E1" s="1"/>
    </row>
    <row r="2" ht="30" customHeight="1" spans="1:5" x14ac:dyDescent="0.25">
      <c r="A2" s="16" t="s">
        <v>207</v>
      </c>
      <c r="B2" s="16"/>
      <c r="C2" s="16"/>
      <c r="D2" s="16"/>
      <c r="E2" s="16"/>
    </row>
    <row r="3" ht="22" customHeight="1" spans="1:5" x14ac:dyDescent="0.25">
      <c r="A3" s="8" t="s">
        <v>208</v>
      </c>
      <c r="B3" s="8" t="s">
        <v>209</v>
      </c>
      <c r="C3" s="8" t="s">
        <v>210</v>
      </c>
      <c r="D3" s="8" t="s">
        <v>211</v>
      </c>
      <c r="E3" s="8" t="s">
        <v>212</v>
      </c>
    </row>
    <row r="4" ht="44" customHeight="1" spans="1:5" x14ac:dyDescent="0.25">
      <c r="A4" s="4" t="s">
        <v>213</v>
      </c>
      <c r="B4" s="17" t="s">
        <v>214</v>
      </c>
      <c r="C4" s="4" t="s">
        <v>215</v>
      </c>
      <c r="D4" s="4" t="s">
        <v>216</v>
      </c>
      <c r="E4" s="9" t="s">
        <v>217</v>
      </c>
    </row>
    <row r="5" ht="44" customHeight="1" spans="1:5" x14ac:dyDescent="0.25">
      <c r="A5" s="6" t="s">
        <v>218</v>
      </c>
      <c r="B5" s="18" t="s">
        <v>214</v>
      </c>
      <c r="C5" s="6" t="s">
        <v>215</v>
      </c>
      <c r="D5" s="6" t="s">
        <v>219</v>
      </c>
      <c r="E5" s="10" t="s">
        <v>220</v>
      </c>
    </row>
    <row r="6" ht="44" customHeight="1" spans="1:5" x14ac:dyDescent="0.25">
      <c r="A6" s="4" t="s">
        <v>221</v>
      </c>
      <c r="B6" s="19" t="s">
        <v>222</v>
      </c>
      <c r="C6" s="4" t="s">
        <v>223</v>
      </c>
      <c r="D6" s="4" t="s">
        <v>224</v>
      </c>
      <c r="E6" s="9" t="s">
        <v>225</v>
      </c>
    </row>
    <row r="7" ht="44" customHeight="1" spans="1:5" x14ac:dyDescent="0.25">
      <c r="A7" s="6" t="s">
        <v>226</v>
      </c>
      <c r="B7" s="20" t="s">
        <v>222</v>
      </c>
      <c r="C7" s="6" t="s">
        <v>227</v>
      </c>
      <c r="D7" s="6" t="s">
        <v>228</v>
      </c>
      <c r="E7" s="10" t="s">
        <v>229</v>
      </c>
    </row>
    <row r="8" ht="44" customHeight="1" spans="1:5" x14ac:dyDescent="0.25">
      <c r="A8" s="4" t="s">
        <v>230</v>
      </c>
      <c r="B8" s="19" t="s">
        <v>222</v>
      </c>
      <c r="C8" s="4" t="s">
        <v>231</v>
      </c>
      <c r="D8" s="4" t="s">
        <v>232</v>
      </c>
      <c r="E8" s="9" t="s">
        <v>225</v>
      </c>
    </row>
    <row r="9" ht="44" customHeight="1" spans="1:5" x14ac:dyDescent="0.25">
      <c r="A9" s="6" t="s">
        <v>233</v>
      </c>
      <c r="B9" s="18" t="s">
        <v>214</v>
      </c>
      <c r="C9" s="6" t="s">
        <v>234</v>
      </c>
      <c r="D9" s="6" t="s">
        <v>235</v>
      </c>
      <c r="E9" s="10" t="s">
        <v>236</v>
      </c>
    </row>
    <row r="10" ht="44" customHeight="1" spans="1:5" x14ac:dyDescent="0.25">
      <c r="A10" s="4" t="s">
        <v>237</v>
      </c>
      <c r="B10" s="21" t="s">
        <v>238</v>
      </c>
      <c r="C10" s="4" t="s">
        <v>239</v>
      </c>
      <c r="D10" s="4" t="s">
        <v>240</v>
      </c>
      <c r="E10" s="9" t="s">
        <v>241</v>
      </c>
    </row>
    <row r="11" ht="44" customHeight="1" spans="1:5" x14ac:dyDescent="0.25">
      <c r="A11" s="6" t="s">
        <v>242</v>
      </c>
      <c r="B11" s="22" t="s">
        <v>238</v>
      </c>
      <c r="C11" s="6" t="s">
        <v>243</v>
      </c>
      <c r="D11" s="6" t="s">
        <v>244</v>
      </c>
      <c r="E11" s="10" t="s">
        <v>245</v>
      </c>
    </row>
    <row r="12" ht="44" customHeight="1" spans="1:5" x14ac:dyDescent="0.25">
      <c r="A12" s="4" t="s">
        <v>246</v>
      </c>
      <c r="B12" s="19" t="s">
        <v>222</v>
      </c>
      <c r="C12" s="4" t="s">
        <v>247</v>
      </c>
      <c r="D12" s="4" t="s">
        <v>248</v>
      </c>
      <c r="E12" s="9" t="s">
        <v>225</v>
      </c>
    </row>
    <row r="13" ht="44" customHeight="1" spans="1:5" x14ac:dyDescent="0.25">
      <c r="A13" s="6" t="s">
        <v>249</v>
      </c>
      <c r="B13" s="20" t="s">
        <v>222</v>
      </c>
      <c r="C13" s="6" t="s">
        <v>250</v>
      </c>
      <c r="D13" s="6" t="s">
        <v>251</v>
      </c>
      <c r="E13" s="10" t="s">
        <v>229</v>
      </c>
    </row>
    <row r="14" ht="44" customHeight="1" spans="1:5" x14ac:dyDescent="0.25">
      <c r="A14" s="4" t="s">
        <v>252</v>
      </c>
      <c r="B14" s="23" t="s">
        <v>253</v>
      </c>
      <c r="C14" s="4" t="s">
        <v>254</v>
      </c>
      <c r="D14" s="4" t="s">
        <v>255</v>
      </c>
      <c r="E14" s="9" t="s">
        <v>256</v>
      </c>
    </row>
    <row r="15" ht="44" customHeight="1" spans="1:5" x14ac:dyDescent="0.25">
      <c r="A15" s="6" t="s">
        <v>257</v>
      </c>
      <c r="B15" s="18" t="s">
        <v>214</v>
      </c>
      <c r="C15" s="6" t="s">
        <v>258</v>
      </c>
      <c r="D15" s="6" t="s">
        <v>259</v>
      </c>
      <c r="E15" s="10" t="s">
        <v>260</v>
      </c>
    </row>
    <row r="17" ht="22" customHeight="1" spans="1:5" x14ac:dyDescent="0.25">
      <c r="A17" s="24" t="s">
        <v>261</v>
      </c>
      <c r="B17" s="24"/>
      <c r="C17" s="24"/>
      <c r="D17" s="24"/>
      <c r="E17" s="24"/>
    </row>
    <row r="18" ht="40" customHeight="1" spans="1:5" x14ac:dyDescent="0.25">
      <c r="A18" s="25" t="s">
        <v>262</v>
      </c>
      <c r="B18" s="25"/>
      <c r="C18" s="25"/>
      <c r="D18" s="25"/>
      <c r="E18" s="25"/>
    </row>
  </sheetData>
  <mergeCells count="4">
    <mergeCell ref="A1:E1"/>
    <mergeCell ref="A2:E2"/>
    <mergeCell ref="A17:E17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showGridLines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" customWidth="1"/>
    <col min="3" max="3" width="46" customWidth="1"/>
    <col min="4" max="4" width="34" customWidth="1"/>
    <col min="6" max="7" width="7" customWidth="1"/>
    <col min="8" max="8" width="8" customWidth="1"/>
    <col min="9" max="9" width="18" customWidth="1"/>
  </cols>
  <sheetData>
    <row r="1" ht="28" customHeight="1" spans="1:9" x14ac:dyDescent="0.25">
      <c r="A1" s="1" t="s">
        <v>263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6" t="s">
        <v>264</v>
      </c>
      <c r="B2" s="16"/>
      <c r="C2" s="16"/>
      <c r="D2" s="16"/>
      <c r="E2" s="16"/>
      <c r="F2" s="16"/>
      <c r="G2" s="16"/>
      <c r="H2" s="16"/>
      <c r="I2" s="16"/>
    </row>
    <row r="3" ht="20" customHeight="1" spans="1:9" x14ac:dyDescent="0.25">
      <c r="A3" s="2" t="s">
        <v>265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  <c r="H4" s="8" t="s">
        <v>273</v>
      </c>
      <c r="I4" s="8" t="s">
        <v>67</v>
      </c>
    </row>
    <row r="5" spans="1:9" x14ac:dyDescent="0.25">
      <c r="A5" s="4" t="s">
        <v>213</v>
      </c>
      <c r="B5" s="9">
        <f>COUNTIF($A$17:$A$76,$A5)</f>
      </c>
      <c r="C5" s="9">
        <f>COUNTIFS($A$17:$A$76,$A5,$F$17:$F$76,"✓")</f>
      </c>
      <c r="D5" s="26">
        <f>IF($B5=0,0,$C5/$B5)</f>
      </c>
      <c r="E5" s="9">
        <f>COUNTIFS($A$17:$A$76,$A5,$G$17:$G$76,"✓")</f>
      </c>
      <c r="F5" s="26">
        <f>IF($B5=0,0,$E5/$B5)</f>
      </c>
      <c r="G5" s="9">
        <f>COUNTIFS($A$17:$A$76,$A5,$H$17:$H$76,"✓")</f>
      </c>
      <c r="H5" s="26">
        <f>IF($B5=0,0,$G5/$B5)</f>
      </c>
      <c r="I5" s="4" t="s">
        <v>67</v>
      </c>
    </row>
    <row r="6" spans="1:9" x14ac:dyDescent="0.25">
      <c r="A6" s="6" t="s">
        <v>274</v>
      </c>
      <c r="B6" s="10">
        <f>COUNTIF($A$17:$A$76,$A6)</f>
      </c>
      <c r="C6" s="10">
        <f>COUNTIFS($A$17:$A$76,$A6,$F$17:$F$76,"✓")</f>
      </c>
      <c r="D6" s="27">
        <f>IF($B6=0,0,$C6/$B6)</f>
      </c>
      <c r="E6" s="10">
        <f>COUNTIFS($A$17:$A$76,$A6,$G$17:$G$76,"✓")</f>
      </c>
      <c r="F6" s="27">
        <f>IF($B6=0,0,$E6/$B6)</f>
      </c>
      <c r="G6" s="10">
        <f>COUNTIFS($A$17:$A$76,$A6,$H$17:$H$76,"✓")</f>
      </c>
      <c r="H6" s="27">
        <f>IF($B6=0,0,$G6/$B6)</f>
      </c>
      <c r="I6" s="6" t="s">
        <v>67</v>
      </c>
    </row>
    <row r="7" spans="1:9" x14ac:dyDescent="0.25">
      <c r="A7" s="4" t="s">
        <v>275</v>
      </c>
      <c r="B7" s="9">
        <f>COUNTIF($A$17:$A$76,$A7)</f>
      </c>
      <c r="C7" s="9">
        <f>COUNTIFS($A$17:$A$76,$A7,$F$17:$F$76,"✓")</f>
      </c>
      <c r="D7" s="26">
        <f>IF($B7=0,0,$C7/$B7)</f>
      </c>
      <c r="E7" s="9">
        <f>COUNTIFS($A$17:$A$76,$A7,$G$17:$G$76,"✓")</f>
      </c>
      <c r="F7" s="26">
        <f>IF($B7=0,0,$E7/$B7)</f>
      </c>
      <c r="G7" s="9">
        <f>COUNTIFS($A$17:$A$76,$A7,$H$17:$H$76,"✓")</f>
      </c>
      <c r="H7" s="26">
        <f>IF($B7=0,0,$G7/$B7)</f>
      </c>
      <c r="I7" s="4" t="s">
        <v>67</v>
      </c>
    </row>
    <row r="8" spans="1:9" x14ac:dyDescent="0.25">
      <c r="A8" s="6" t="s">
        <v>276</v>
      </c>
      <c r="B8" s="10">
        <f>COUNTIF($A$17:$A$76,$A8)</f>
      </c>
      <c r="C8" s="10">
        <f>COUNTIFS($A$17:$A$76,$A8,$F$17:$F$76,"✓")</f>
      </c>
      <c r="D8" s="27">
        <f>IF($B8=0,0,$C8/$B8)</f>
      </c>
      <c r="E8" s="10">
        <f>COUNTIFS($A$17:$A$76,$A8,$G$17:$G$76,"✓")</f>
      </c>
      <c r="F8" s="27">
        <f>IF($B8=0,0,$E8/$B8)</f>
      </c>
      <c r="G8" s="10">
        <f>COUNTIFS($A$17:$A$76,$A8,$H$17:$H$76,"✓")</f>
      </c>
      <c r="H8" s="27">
        <f>IF($B8=0,0,$G8/$B8)</f>
      </c>
      <c r="I8" s="6" t="s">
        <v>67</v>
      </c>
    </row>
    <row r="9" spans="1:9" x14ac:dyDescent="0.25">
      <c r="A9" s="4" t="s">
        <v>277</v>
      </c>
      <c r="B9" s="9">
        <f>COUNTIF($A$17:$A$76,$A9)</f>
      </c>
      <c r="C9" s="9">
        <f>COUNTIFS($A$17:$A$76,$A9,$F$17:$F$76,"✓")</f>
      </c>
      <c r="D9" s="26">
        <f>IF($B9=0,0,$C9/$B9)</f>
      </c>
      <c r="E9" s="9">
        <f>COUNTIFS($A$17:$A$76,$A9,$G$17:$G$76,"✓")</f>
      </c>
      <c r="F9" s="26">
        <f>IF($B9=0,0,$E9/$B9)</f>
      </c>
      <c r="G9" s="9">
        <f>COUNTIFS($A$17:$A$76,$A9,$H$17:$H$76,"✓")</f>
      </c>
      <c r="H9" s="26">
        <f>IF($B9=0,0,$G9/$B9)</f>
      </c>
      <c r="I9" s="4" t="s">
        <v>67</v>
      </c>
    </row>
    <row r="10" spans="1:9" x14ac:dyDescent="0.25">
      <c r="A10" s="6" t="s">
        <v>278</v>
      </c>
      <c r="B10" s="10">
        <f>COUNTIF($A$17:$A$76,$A10)</f>
      </c>
      <c r="C10" s="10">
        <f>COUNTIFS($A$17:$A$76,$A10,$F$17:$F$76,"✓")</f>
      </c>
      <c r="D10" s="27">
        <f>IF($B10=0,0,$C10/$B10)</f>
      </c>
      <c r="E10" s="10">
        <f>COUNTIFS($A$17:$A$76,$A10,$G$17:$G$76,"✓")</f>
      </c>
      <c r="F10" s="27">
        <f>IF($B10=0,0,$E10/$B10)</f>
      </c>
      <c r="G10" s="10">
        <f>COUNTIFS($A$17:$A$76,$A10,$H$17:$H$76,"✓")</f>
      </c>
      <c r="H10" s="27">
        <f>IF($B10=0,0,$G10/$B10)</f>
      </c>
      <c r="I10" s="6" t="s">
        <v>67</v>
      </c>
    </row>
    <row r="11" spans="1:9" x14ac:dyDescent="0.25">
      <c r="A11" s="4" t="s">
        <v>279</v>
      </c>
      <c r="B11" s="9">
        <f>COUNTIF($A$17:$A$76,$A11)</f>
      </c>
      <c r="C11" s="9">
        <f>COUNTIFS($A$17:$A$76,$A11,$F$17:$F$76,"✓")</f>
      </c>
      <c r="D11" s="26">
        <f>IF($B11=0,0,$C11/$B11)</f>
      </c>
      <c r="E11" s="9">
        <f>COUNTIFS($A$17:$A$76,$A11,$G$17:$G$76,"✓")</f>
      </c>
      <c r="F11" s="26">
        <f>IF($B11=0,0,$E11/$B11)</f>
      </c>
      <c r="G11" s="9">
        <f>COUNTIFS($A$17:$A$76,$A11,$H$17:$H$76,"✓")</f>
      </c>
      <c r="H11" s="26">
        <f>IF($B11=0,0,$G11/$B11)</f>
      </c>
      <c r="I11" s="4" t="s">
        <v>67</v>
      </c>
    </row>
    <row r="12" spans="1:9" x14ac:dyDescent="0.25">
      <c r="A12" s="6" t="s">
        <v>280</v>
      </c>
      <c r="B12" s="10">
        <f>COUNTIF($A$17:$A$76,$A12)</f>
      </c>
      <c r="C12" s="10">
        <f>COUNTIFS($A$17:$A$76,$A12,$F$17:$F$76,"✓")</f>
      </c>
      <c r="D12" s="27">
        <f>IF($B12=0,0,$C12/$B12)</f>
      </c>
      <c r="E12" s="10">
        <f>COUNTIFS($A$17:$A$76,$A12,$G$17:$G$76,"✓")</f>
      </c>
      <c r="F12" s="27">
        <f>IF($B12=0,0,$E12/$B12)</f>
      </c>
      <c r="G12" s="10">
        <f>COUNTIFS($A$17:$A$76,$A12,$H$17:$H$76,"✓")</f>
      </c>
      <c r="H12" s="27">
        <f>IF($B12=0,0,$G12/$B12)</f>
      </c>
      <c r="I12" s="6" t="s">
        <v>67</v>
      </c>
    </row>
    <row r="13" spans="1:9" x14ac:dyDescent="0.25">
      <c r="A13" s="28" t="s">
        <v>281</v>
      </c>
      <c r="B13" s="8">
        <f>SUM(B5:B12)</f>
      </c>
      <c r="C13" s="8">
        <f>SUM(C5:C12)</f>
      </c>
      <c r="D13" s="29">
        <f>IF(B13=0,0,C13/B13)</f>
      </c>
      <c r="E13" s="8">
        <f>SUM(E5:E12)</f>
      </c>
      <c r="F13" s="29">
        <f>IF(B13=0,0,E13/B13)</f>
      </c>
      <c r="G13" s="8">
        <f>SUM(G5:G12)</f>
      </c>
      <c r="H13" s="29">
        <f>IF(B13=0,0,G13/B13)</f>
      </c>
      <c r="I13" s="28" t="s">
        <v>67</v>
      </c>
    </row>
    <row r="15" ht="20" customHeight="1" spans="1:9" x14ac:dyDescent="0.25">
      <c r="A15" s="2" t="s">
        <v>282</v>
      </c>
      <c r="B15" s="2"/>
      <c r="C15" s="2"/>
      <c r="D15" s="2"/>
      <c r="E15" s="2"/>
      <c r="F15" s="2"/>
      <c r="G15" s="2"/>
      <c r="H15" s="2"/>
      <c r="I15" s="2"/>
    </row>
    <row r="16" ht="22" customHeight="1" spans="1:9" x14ac:dyDescent="0.25">
      <c r="A16" s="8" t="s">
        <v>266</v>
      </c>
      <c r="B16" s="8" t="s">
        <v>283</v>
      </c>
      <c r="C16" s="8" t="s">
        <v>284</v>
      </c>
      <c r="D16" s="8" t="s">
        <v>285</v>
      </c>
      <c r="E16" s="8" t="s">
        <v>286</v>
      </c>
      <c r="F16" s="8" t="s">
        <v>287</v>
      </c>
      <c r="G16" s="8" t="s">
        <v>288</v>
      </c>
      <c r="H16" s="8" t="s">
        <v>289</v>
      </c>
      <c r="I16" s="8" t="s">
        <v>290</v>
      </c>
    </row>
    <row r="17" spans="1:9" x14ac:dyDescent="0.25">
      <c r="A17" s="9" t="s">
        <v>213</v>
      </c>
      <c r="B17" s="9">
        <v>1</v>
      </c>
      <c r="C17" s="4" t="s">
        <v>291</v>
      </c>
      <c r="D17" s="30" t="s">
        <v>292</v>
      </c>
      <c r="E17" s="19" t="s">
        <v>293</v>
      </c>
      <c r="F17" s="9" t="s">
        <v>67</v>
      </c>
      <c r="G17" s="9" t="s">
        <v>67</v>
      </c>
      <c r="H17" s="9" t="s">
        <v>67</v>
      </c>
      <c r="I17" s="4" t="s">
        <v>67</v>
      </c>
    </row>
    <row r="18" spans="1:9" x14ac:dyDescent="0.25">
      <c r="A18" s="10" t="s">
        <v>213</v>
      </c>
      <c r="B18" s="10">
        <v>2</v>
      </c>
      <c r="C18" s="6" t="s">
        <v>294</v>
      </c>
      <c r="D18" s="31" t="s">
        <v>295</v>
      </c>
      <c r="E18" s="18" t="s">
        <v>296</v>
      </c>
      <c r="F18" s="10" t="s">
        <v>67</v>
      </c>
      <c r="G18" s="10" t="s">
        <v>67</v>
      </c>
      <c r="H18" s="10" t="s">
        <v>67</v>
      </c>
      <c r="I18" s="6" t="s">
        <v>67</v>
      </c>
    </row>
    <row r="19" spans="1:9" x14ac:dyDescent="0.25">
      <c r="A19" s="9" t="s">
        <v>213</v>
      </c>
      <c r="B19" s="9">
        <v>3</v>
      </c>
      <c r="C19" s="4" t="s">
        <v>297</v>
      </c>
      <c r="D19" s="30" t="s">
        <v>298</v>
      </c>
      <c r="E19" s="32" t="s">
        <v>299</v>
      </c>
      <c r="F19" s="9" t="s">
        <v>67</v>
      </c>
      <c r="G19" s="9" t="s">
        <v>67</v>
      </c>
      <c r="H19" s="9" t="s">
        <v>67</v>
      </c>
      <c r="I19" s="4" t="s">
        <v>67</v>
      </c>
    </row>
    <row r="20" spans="1:9" x14ac:dyDescent="0.25">
      <c r="A20" s="10" t="s">
        <v>213</v>
      </c>
      <c r="B20" s="10">
        <v>4</v>
      </c>
      <c r="C20" s="6" t="s">
        <v>300</v>
      </c>
      <c r="D20" s="31" t="s">
        <v>301</v>
      </c>
      <c r="E20" s="20" t="s">
        <v>293</v>
      </c>
      <c r="F20" s="10" t="s">
        <v>67</v>
      </c>
      <c r="G20" s="10" t="s">
        <v>67</v>
      </c>
      <c r="H20" s="10" t="s">
        <v>67</v>
      </c>
      <c r="I20" s="6" t="s">
        <v>67</v>
      </c>
    </row>
    <row r="21" spans="1:9" x14ac:dyDescent="0.25">
      <c r="A21" s="9" t="s">
        <v>213</v>
      </c>
      <c r="B21" s="9">
        <v>5</v>
      </c>
      <c r="C21" s="4" t="s">
        <v>302</v>
      </c>
      <c r="D21" s="30" t="s">
        <v>303</v>
      </c>
      <c r="E21" s="19" t="s">
        <v>293</v>
      </c>
      <c r="F21" s="9" t="s">
        <v>67</v>
      </c>
      <c r="G21" s="9" t="s">
        <v>67</v>
      </c>
      <c r="H21" s="9" t="s">
        <v>67</v>
      </c>
      <c r="I21" s="4" t="s">
        <v>67</v>
      </c>
    </row>
    <row r="22" spans="1:9" x14ac:dyDescent="0.25">
      <c r="A22" s="10" t="s">
        <v>213</v>
      </c>
      <c r="B22" s="10">
        <v>6</v>
      </c>
      <c r="C22" s="6" t="s">
        <v>304</v>
      </c>
      <c r="D22" s="31" t="s">
        <v>305</v>
      </c>
      <c r="E22" s="20" t="s">
        <v>293</v>
      </c>
      <c r="F22" s="10" t="s">
        <v>67</v>
      </c>
      <c r="G22" s="10" t="s">
        <v>67</v>
      </c>
      <c r="H22" s="10" t="s">
        <v>67</v>
      </c>
      <c r="I22" s="6" t="s">
        <v>67</v>
      </c>
    </row>
    <row r="23" spans="1:9" x14ac:dyDescent="0.25">
      <c r="A23" s="9" t="s">
        <v>213</v>
      </c>
      <c r="B23" s="9">
        <v>7</v>
      </c>
      <c r="C23" s="4" t="s">
        <v>306</v>
      </c>
      <c r="D23" s="30" t="s">
        <v>307</v>
      </c>
      <c r="E23" s="19" t="s">
        <v>293</v>
      </c>
      <c r="F23" s="9" t="s">
        <v>67</v>
      </c>
      <c r="G23" s="9" t="s">
        <v>67</v>
      </c>
      <c r="H23" s="9" t="s">
        <v>67</v>
      </c>
      <c r="I23" s="4" t="s">
        <v>67</v>
      </c>
    </row>
    <row r="24" spans="1:9" x14ac:dyDescent="0.25">
      <c r="A24" s="10" t="s">
        <v>213</v>
      </c>
      <c r="B24" s="10">
        <v>8</v>
      </c>
      <c r="C24" s="6" t="s">
        <v>308</v>
      </c>
      <c r="D24" s="31" t="s">
        <v>309</v>
      </c>
      <c r="E24" s="18" t="s">
        <v>296</v>
      </c>
      <c r="F24" s="10" t="s">
        <v>67</v>
      </c>
      <c r="G24" s="10" t="s">
        <v>67</v>
      </c>
      <c r="H24" s="10" t="s">
        <v>67</v>
      </c>
      <c r="I24" s="6" t="s">
        <v>67</v>
      </c>
    </row>
    <row r="25" spans="1:9" x14ac:dyDescent="0.25">
      <c r="A25" s="9" t="s">
        <v>274</v>
      </c>
      <c r="B25" s="9">
        <v>9</v>
      </c>
      <c r="C25" s="4" t="s">
        <v>310</v>
      </c>
      <c r="D25" s="30" t="s">
        <v>311</v>
      </c>
      <c r="E25" s="19" t="s">
        <v>293</v>
      </c>
      <c r="F25" s="9" t="s">
        <v>67</v>
      </c>
      <c r="G25" s="9" t="s">
        <v>67</v>
      </c>
      <c r="H25" s="9" t="s">
        <v>67</v>
      </c>
      <c r="I25" s="4" t="s">
        <v>67</v>
      </c>
    </row>
    <row r="26" spans="1:9" x14ac:dyDescent="0.25">
      <c r="A26" s="10" t="s">
        <v>274</v>
      </c>
      <c r="B26" s="10">
        <v>10</v>
      </c>
      <c r="C26" s="6" t="s">
        <v>312</v>
      </c>
      <c r="D26" s="31" t="s">
        <v>313</v>
      </c>
      <c r="E26" s="20" t="s">
        <v>293</v>
      </c>
      <c r="F26" s="10" t="s">
        <v>67</v>
      </c>
      <c r="G26" s="10" t="s">
        <v>67</v>
      </c>
      <c r="H26" s="10" t="s">
        <v>67</v>
      </c>
      <c r="I26" s="6" t="s">
        <v>67</v>
      </c>
    </row>
    <row r="27" spans="1:9" x14ac:dyDescent="0.25">
      <c r="A27" s="9" t="s">
        <v>274</v>
      </c>
      <c r="B27" s="9">
        <v>11</v>
      </c>
      <c r="C27" s="4" t="s">
        <v>314</v>
      </c>
      <c r="D27" s="30" t="s">
        <v>315</v>
      </c>
      <c r="E27" s="19" t="s">
        <v>293</v>
      </c>
      <c r="F27" s="9" t="s">
        <v>67</v>
      </c>
      <c r="G27" s="9" t="s">
        <v>67</v>
      </c>
      <c r="H27" s="9" t="s">
        <v>67</v>
      </c>
      <c r="I27" s="4" t="s">
        <v>67</v>
      </c>
    </row>
    <row r="28" spans="1:9" x14ac:dyDescent="0.25">
      <c r="A28" s="10" t="s">
        <v>274</v>
      </c>
      <c r="B28" s="10">
        <v>12</v>
      </c>
      <c r="C28" s="6" t="s">
        <v>316</v>
      </c>
      <c r="D28" s="31" t="s">
        <v>317</v>
      </c>
      <c r="E28" s="20" t="s">
        <v>293</v>
      </c>
      <c r="F28" s="10" t="s">
        <v>67</v>
      </c>
      <c r="G28" s="10" t="s">
        <v>67</v>
      </c>
      <c r="H28" s="10" t="s">
        <v>67</v>
      </c>
      <c r="I28" s="6" t="s">
        <v>67</v>
      </c>
    </row>
    <row r="29" spans="1:9" x14ac:dyDescent="0.25">
      <c r="A29" s="9" t="s">
        <v>274</v>
      </c>
      <c r="B29" s="9">
        <v>13</v>
      </c>
      <c r="C29" s="4" t="s">
        <v>318</v>
      </c>
      <c r="D29" s="30" t="s">
        <v>319</v>
      </c>
      <c r="E29" s="19" t="s">
        <v>293</v>
      </c>
      <c r="F29" s="9" t="s">
        <v>67</v>
      </c>
      <c r="G29" s="9" t="s">
        <v>67</v>
      </c>
      <c r="H29" s="9" t="s">
        <v>67</v>
      </c>
      <c r="I29" s="4" t="s">
        <v>67</v>
      </c>
    </row>
    <row r="30" spans="1:9" x14ac:dyDescent="0.25">
      <c r="A30" s="10" t="s">
        <v>275</v>
      </c>
      <c r="B30" s="10">
        <v>14</v>
      </c>
      <c r="C30" s="6" t="s">
        <v>320</v>
      </c>
      <c r="D30" s="31" t="s">
        <v>321</v>
      </c>
      <c r="E30" s="18" t="s">
        <v>296</v>
      </c>
      <c r="F30" s="10" t="s">
        <v>67</v>
      </c>
      <c r="G30" s="10" t="s">
        <v>67</v>
      </c>
      <c r="H30" s="10" t="s">
        <v>67</v>
      </c>
      <c r="I30" s="6" t="s">
        <v>67</v>
      </c>
    </row>
    <row r="31" spans="1:9" x14ac:dyDescent="0.25">
      <c r="A31" s="9" t="s">
        <v>275</v>
      </c>
      <c r="B31" s="9">
        <v>15</v>
      </c>
      <c r="C31" s="4" t="s">
        <v>322</v>
      </c>
      <c r="D31" s="30" t="s">
        <v>323</v>
      </c>
      <c r="E31" s="19" t="s">
        <v>293</v>
      </c>
      <c r="F31" s="9" t="s">
        <v>67</v>
      </c>
      <c r="G31" s="9" t="s">
        <v>67</v>
      </c>
      <c r="H31" s="9" t="s">
        <v>67</v>
      </c>
      <c r="I31" s="4" t="s">
        <v>67</v>
      </c>
    </row>
    <row r="32" spans="1:9" x14ac:dyDescent="0.25">
      <c r="A32" s="10" t="s">
        <v>275</v>
      </c>
      <c r="B32" s="10">
        <v>16</v>
      </c>
      <c r="C32" s="6" t="s">
        <v>324</v>
      </c>
      <c r="D32" s="31" t="s">
        <v>325</v>
      </c>
      <c r="E32" s="20" t="s">
        <v>293</v>
      </c>
      <c r="F32" s="10" t="s">
        <v>67</v>
      </c>
      <c r="G32" s="10" t="s">
        <v>67</v>
      </c>
      <c r="H32" s="10" t="s">
        <v>67</v>
      </c>
      <c r="I32" s="6" t="s">
        <v>67</v>
      </c>
    </row>
    <row r="33" spans="1:9" x14ac:dyDescent="0.25">
      <c r="A33" s="9" t="s">
        <v>275</v>
      </c>
      <c r="B33" s="9">
        <v>17</v>
      </c>
      <c r="C33" s="4" t="s">
        <v>326</v>
      </c>
      <c r="D33" s="30" t="s">
        <v>327</v>
      </c>
      <c r="E33" s="19" t="s">
        <v>293</v>
      </c>
      <c r="F33" s="9" t="s">
        <v>67</v>
      </c>
      <c r="G33" s="9" t="s">
        <v>67</v>
      </c>
      <c r="H33" s="9" t="s">
        <v>67</v>
      </c>
      <c r="I33" s="4" t="s">
        <v>67</v>
      </c>
    </row>
    <row r="34" spans="1:9" x14ac:dyDescent="0.25">
      <c r="A34" s="10" t="s">
        <v>275</v>
      </c>
      <c r="B34" s="10">
        <v>18</v>
      </c>
      <c r="C34" s="6" t="s">
        <v>328</v>
      </c>
      <c r="D34" s="31" t="s">
        <v>329</v>
      </c>
      <c r="E34" s="20" t="s">
        <v>293</v>
      </c>
      <c r="F34" s="10" t="s">
        <v>67</v>
      </c>
      <c r="G34" s="10" t="s">
        <v>67</v>
      </c>
      <c r="H34" s="10" t="s">
        <v>67</v>
      </c>
      <c r="I34" s="6" t="s">
        <v>67</v>
      </c>
    </row>
    <row r="35" spans="1:9" x14ac:dyDescent="0.25">
      <c r="A35" s="9" t="s">
        <v>275</v>
      </c>
      <c r="B35" s="9">
        <v>19</v>
      </c>
      <c r="C35" s="4" t="s">
        <v>330</v>
      </c>
      <c r="D35" s="30" t="s">
        <v>331</v>
      </c>
      <c r="E35" s="19" t="s">
        <v>293</v>
      </c>
      <c r="F35" s="9" t="s">
        <v>67</v>
      </c>
      <c r="G35" s="9" t="s">
        <v>67</v>
      </c>
      <c r="H35" s="9" t="s">
        <v>67</v>
      </c>
      <c r="I35" s="4" t="s">
        <v>67</v>
      </c>
    </row>
    <row r="36" spans="1:9" x14ac:dyDescent="0.25">
      <c r="A36" s="10" t="s">
        <v>276</v>
      </c>
      <c r="B36" s="10">
        <v>20</v>
      </c>
      <c r="C36" s="6" t="s">
        <v>332</v>
      </c>
      <c r="D36" s="31" t="s">
        <v>333</v>
      </c>
      <c r="E36" s="18" t="s">
        <v>296</v>
      </c>
      <c r="F36" s="10" t="s">
        <v>67</v>
      </c>
      <c r="G36" s="10" t="s">
        <v>67</v>
      </c>
      <c r="H36" s="10" t="s">
        <v>67</v>
      </c>
      <c r="I36" s="6" t="s">
        <v>67</v>
      </c>
    </row>
    <row r="37" spans="1:9" x14ac:dyDescent="0.25">
      <c r="A37" s="9" t="s">
        <v>276</v>
      </c>
      <c r="B37" s="9">
        <v>21</v>
      </c>
      <c r="C37" s="4" t="s">
        <v>334</v>
      </c>
      <c r="D37" s="30" t="s">
        <v>335</v>
      </c>
      <c r="E37" s="17" t="s">
        <v>296</v>
      </c>
      <c r="F37" s="9" t="s">
        <v>67</v>
      </c>
      <c r="G37" s="9" t="s">
        <v>67</v>
      </c>
      <c r="H37" s="9" t="s">
        <v>67</v>
      </c>
      <c r="I37" s="4" t="s">
        <v>67</v>
      </c>
    </row>
    <row r="38" spans="1:9" x14ac:dyDescent="0.25">
      <c r="A38" s="10" t="s">
        <v>276</v>
      </c>
      <c r="B38" s="10">
        <v>22</v>
      </c>
      <c r="C38" s="6" t="s">
        <v>336</v>
      </c>
      <c r="D38" s="31" t="s">
        <v>337</v>
      </c>
      <c r="E38" s="20" t="s">
        <v>293</v>
      </c>
      <c r="F38" s="10" t="s">
        <v>67</v>
      </c>
      <c r="G38" s="10" t="s">
        <v>67</v>
      </c>
      <c r="H38" s="10" t="s">
        <v>67</v>
      </c>
      <c r="I38" s="6" t="s">
        <v>67</v>
      </c>
    </row>
    <row r="39" spans="1:9" x14ac:dyDescent="0.25">
      <c r="A39" s="9" t="s">
        <v>276</v>
      </c>
      <c r="B39" s="9">
        <v>23</v>
      </c>
      <c r="C39" s="4" t="s">
        <v>338</v>
      </c>
      <c r="D39" s="30" t="s">
        <v>339</v>
      </c>
      <c r="E39" s="17" t="s">
        <v>296</v>
      </c>
      <c r="F39" s="9" t="s">
        <v>67</v>
      </c>
      <c r="G39" s="9" t="s">
        <v>67</v>
      </c>
      <c r="H39" s="9" t="s">
        <v>67</v>
      </c>
      <c r="I39" s="4" t="s">
        <v>67</v>
      </c>
    </row>
    <row r="40" spans="1:9" x14ac:dyDescent="0.25">
      <c r="A40" s="10" t="s">
        <v>276</v>
      </c>
      <c r="B40" s="10">
        <v>24</v>
      </c>
      <c r="C40" s="6" t="s">
        <v>340</v>
      </c>
      <c r="D40" s="31" t="s">
        <v>341</v>
      </c>
      <c r="E40" s="20" t="s">
        <v>293</v>
      </c>
      <c r="F40" s="10" t="s">
        <v>67</v>
      </c>
      <c r="G40" s="10" t="s">
        <v>67</v>
      </c>
      <c r="H40" s="10" t="s">
        <v>67</v>
      </c>
      <c r="I40" s="6" t="s">
        <v>67</v>
      </c>
    </row>
    <row r="41" spans="1:9" x14ac:dyDescent="0.25">
      <c r="A41" s="9" t="s">
        <v>276</v>
      </c>
      <c r="B41" s="9">
        <v>25</v>
      </c>
      <c r="C41" s="4" t="s">
        <v>342</v>
      </c>
      <c r="D41" s="30" t="s">
        <v>343</v>
      </c>
      <c r="E41" s="19" t="s">
        <v>293</v>
      </c>
      <c r="F41" s="9" t="s">
        <v>67</v>
      </c>
      <c r="G41" s="9" t="s">
        <v>67</v>
      </c>
      <c r="H41" s="9" t="s">
        <v>67</v>
      </c>
      <c r="I41" s="4" t="s">
        <v>67</v>
      </c>
    </row>
    <row r="42" spans="1:9" x14ac:dyDescent="0.25">
      <c r="A42" s="10" t="s">
        <v>276</v>
      </c>
      <c r="B42" s="10">
        <v>26</v>
      </c>
      <c r="C42" s="6" t="s">
        <v>344</v>
      </c>
      <c r="D42" s="31" t="s">
        <v>345</v>
      </c>
      <c r="E42" s="18" t="s">
        <v>296</v>
      </c>
      <c r="F42" s="10" t="s">
        <v>67</v>
      </c>
      <c r="G42" s="10" t="s">
        <v>67</v>
      </c>
      <c r="H42" s="10" t="s">
        <v>67</v>
      </c>
      <c r="I42" s="6" t="s">
        <v>67</v>
      </c>
    </row>
    <row r="43" spans="1:9" x14ac:dyDescent="0.25">
      <c r="A43" s="9" t="s">
        <v>276</v>
      </c>
      <c r="B43" s="9">
        <v>27</v>
      </c>
      <c r="C43" s="4" t="s">
        <v>346</v>
      </c>
      <c r="D43" s="30" t="s">
        <v>347</v>
      </c>
      <c r="E43" s="19" t="s">
        <v>293</v>
      </c>
      <c r="F43" s="9" t="s">
        <v>67</v>
      </c>
      <c r="G43" s="9" t="s">
        <v>67</v>
      </c>
      <c r="H43" s="9" t="s">
        <v>67</v>
      </c>
      <c r="I43" s="4" t="s">
        <v>67</v>
      </c>
    </row>
    <row r="44" spans="1:9" x14ac:dyDescent="0.25">
      <c r="A44" s="10" t="s">
        <v>276</v>
      </c>
      <c r="B44" s="10">
        <v>28</v>
      </c>
      <c r="C44" s="6" t="s">
        <v>348</v>
      </c>
      <c r="D44" s="31" t="s">
        <v>349</v>
      </c>
      <c r="E44" s="33" t="s">
        <v>299</v>
      </c>
      <c r="F44" s="10" t="s">
        <v>67</v>
      </c>
      <c r="G44" s="10" t="s">
        <v>67</v>
      </c>
      <c r="H44" s="10" t="s">
        <v>67</v>
      </c>
      <c r="I44" s="6" t="s">
        <v>67</v>
      </c>
    </row>
    <row r="45" spans="1:9" x14ac:dyDescent="0.25">
      <c r="A45" s="9" t="s">
        <v>277</v>
      </c>
      <c r="B45" s="9">
        <v>29</v>
      </c>
      <c r="C45" s="4" t="s">
        <v>350</v>
      </c>
      <c r="D45" s="30" t="s">
        <v>351</v>
      </c>
      <c r="E45" s="17" t="s">
        <v>296</v>
      </c>
      <c r="F45" s="9" t="s">
        <v>67</v>
      </c>
      <c r="G45" s="9" t="s">
        <v>67</v>
      </c>
      <c r="H45" s="9" t="s">
        <v>67</v>
      </c>
      <c r="I45" s="4" t="s">
        <v>67</v>
      </c>
    </row>
    <row r="46" spans="1:9" x14ac:dyDescent="0.25">
      <c r="A46" s="10" t="s">
        <v>277</v>
      </c>
      <c r="B46" s="10">
        <v>30</v>
      </c>
      <c r="C46" s="6" t="s">
        <v>352</v>
      </c>
      <c r="D46" s="31" t="s">
        <v>353</v>
      </c>
      <c r="E46" s="20" t="s">
        <v>293</v>
      </c>
      <c r="F46" s="10" t="s">
        <v>67</v>
      </c>
      <c r="G46" s="10" t="s">
        <v>67</v>
      </c>
      <c r="H46" s="10" t="s">
        <v>67</v>
      </c>
      <c r="I46" s="6" t="s">
        <v>67</v>
      </c>
    </row>
    <row r="47" spans="1:9" x14ac:dyDescent="0.25">
      <c r="A47" s="9" t="s">
        <v>277</v>
      </c>
      <c r="B47" s="9">
        <v>31</v>
      </c>
      <c r="C47" s="4" t="s">
        <v>354</v>
      </c>
      <c r="D47" s="30" t="s">
        <v>355</v>
      </c>
      <c r="E47" s="19" t="s">
        <v>293</v>
      </c>
      <c r="F47" s="9" t="s">
        <v>67</v>
      </c>
      <c r="G47" s="9" t="s">
        <v>67</v>
      </c>
      <c r="H47" s="9" t="s">
        <v>67</v>
      </c>
      <c r="I47" s="4" t="s">
        <v>67</v>
      </c>
    </row>
    <row r="48" spans="1:9" x14ac:dyDescent="0.25">
      <c r="A48" s="10" t="s">
        <v>277</v>
      </c>
      <c r="B48" s="10">
        <v>32</v>
      </c>
      <c r="C48" s="6" t="s">
        <v>356</v>
      </c>
      <c r="D48" s="31" t="s">
        <v>357</v>
      </c>
      <c r="E48" s="20" t="s">
        <v>293</v>
      </c>
      <c r="F48" s="10" t="s">
        <v>67</v>
      </c>
      <c r="G48" s="10" t="s">
        <v>67</v>
      </c>
      <c r="H48" s="10" t="s">
        <v>67</v>
      </c>
      <c r="I48" s="6" t="s">
        <v>67</v>
      </c>
    </row>
    <row r="49" spans="1:9" x14ac:dyDescent="0.25">
      <c r="A49" s="9" t="s">
        <v>277</v>
      </c>
      <c r="B49" s="9">
        <v>33</v>
      </c>
      <c r="C49" s="4" t="s">
        <v>358</v>
      </c>
      <c r="D49" s="30" t="s">
        <v>359</v>
      </c>
      <c r="E49" s="19" t="s">
        <v>293</v>
      </c>
      <c r="F49" s="9" t="s">
        <v>67</v>
      </c>
      <c r="G49" s="9" t="s">
        <v>67</v>
      </c>
      <c r="H49" s="9" t="s">
        <v>67</v>
      </c>
      <c r="I49" s="4" t="s">
        <v>67</v>
      </c>
    </row>
    <row r="50" spans="1:9" x14ac:dyDescent="0.25">
      <c r="A50" s="10" t="s">
        <v>277</v>
      </c>
      <c r="B50" s="10">
        <v>34</v>
      </c>
      <c r="C50" s="6" t="s">
        <v>360</v>
      </c>
      <c r="D50" s="31" t="s">
        <v>361</v>
      </c>
      <c r="E50" s="18" t="s">
        <v>296</v>
      </c>
      <c r="F50" s="10" t="s">
        <v>67</v>
      </c>
      <c r="G50" s="10" t="s">
        <v>67</v>
      </c>
      <c r="H50" s="10" t="s">
        <v>67</v>
      </c>
      <c r="I50" s="6" t="s">
        <v>67</v>
      </c>
    </row>
    <row r="51" spans="1:9" x14ac:dyDescent="0.25">
      <c r="A51" s="9" t="s">
        <v>277</v>
      </c>
      <c r="B51" s="9">
        <v>35</v>
      </c>
      <c r="C51" s="4" t="s">
        <v>362</v>
      </c>
      <c r="D51" s="30" t="s">
        <v>363</v>
      </c>
      <c r="E51" s="32" t="s">
        <v>299</v>
      </c>
      <c r="F51" s="9" t="s">
        <v>67</v>
      </c>
      <c r="G51" s="9" t="s">
        <v>67</v>
      </c>
      <c r="H51" s="9" t="s">
        <v>67</v>
      </c>
      <c r="I51" s="4" t="s">
        <v>67</v>
      </c>
    </row>
    <row r="52" spans="1:9" x14ac:dyDescent="0.25">
      <c r="A52" s="10" t="s">
        <v>277</v>
      </c>
      <c r="B52" s="10">
        <v>36</v>
      </c>
      <c r="C52" s="6" t="s">
        <v>364</v>
      </c>
      <c r="D52" s="31" t="s">
        <v>365</v>
      </c>
      <c r="E52" s="18" t="s">
        <v>296</v>
      </c>
      <c r="F52" s="10" t="s">
        <v>67</v>
      </c>
      <c r="G52" s="10" t="s">
        <v>67</v>
      </c>
      <c r="H52" s="10" t="s">
        <v>67</v>
      </c>
      <c r="I52" s="6" t="s">
        <v>67</v>
      </c>
    </row>
    <row r="53" spans="1:9" x14ac:dyDescent="0.25">
      <c r="A53" s="9" t="s">
        <v>277</v>
      </c>
      <c r="B53" s="9">
        <v>37</v>
      </c>
      <c r="C53" s="4" t="s">
        <v>366</v>
      </c>
      <c r="D53" s="30" t="s">
        <v>367</v>
      </c>
      <c r="E53" s="17" t="s">
        <v>296</v>
      </c>
      <c r="F53" s="9" t="s">
        <v>67</v>
      </c>
      <c r="G53" s="9" t="s">
        <v>67</v>
      </c>
      <c r="H53" s="9" t="s">
        <v>67</v>
      </c>
      <c r="I53" s="4" t="s">
        <v>67</v>
      </c>
    </row>
    <row r="54" spans="1:9" x14ac:dyDescent="0.25">
      <c r="A54" s="10" t="s">
        <v>278</v>
      </c>
      <c r="B54" s="10">
        <v>38</v>
      </c>
      <c r="C54" s="6" t="s">
        <v>368</v>
      </c>
      <c r="D54" s="31" t="s">
        <v>369</v>
      </c>
      <c r="E54" s="20" t="s">
        <v>293</v>
      </c>
      <c r="F54" s="10" t="s">
        <v>67</v>
      </c>
      <c r="G54" s="10" t="s">
        <v>67</v>
      </c>
      <c r="H54" s="10" t="s">
        <v>67</v>
      </c>
      <c r="I54" s="6" t="s">
        <v>67</v>
      </c>
    </row>
    <row r="55" spans="1:9" x14ac:dyDescent="0.25">
      <c r="A55" s="9" t="s">
        <v>278</v>
      </c>
      <c r="B55" s="9">
        <v>39</v>
      </c>
      <c r="C55" s="4" t="s">
        <v>370</v>
      </c>
      <c r="D55" s="30" t="s">
        <v>371</v>
      </c>
      <c r="E55" s="19" t="s">
        <v>293</v>
      </c>
      <c r="F55" s="9" t="s">
        <v>67</v>
      </c>
      <c r="G55" s="9" t="s">
        <v>67</v>
      </c>
      <c r="H55" s="9" t="s">
        <v>67</v>
      </c>
      <c r="I55" s="4" t="s">
        <v>67</v>
      </c>
    </row>
    <row r="56" spans="1:9" x14ac:dyDescent="0.25">
      <c r="A56" s="10" t="s">
        <v>278</v>
      </c>
      <c r="B56" s="10">
        <v>40</v>
      </c>
      <c r="C56" s="6" t="s">
        <v>372</v>
      </c>
      <c r="D56" s="31" t="s">
        <v>373</v>
      </c>
      <c r="E56" s="20" t="s">
        <v>293</v>
      </c>
      <c r="F56" s="10" t="s">
        <v>67</v>
      </c>
      <c r="G56" s="10" t="s">
        <v>67</v>
      </c>
      <c r="H56" s="10" t="s">
        <v>67</v>
      </c>
      <c r="I56" s="6" t="s">
        <v>67</v>
      </c>
    </row>
    <row r="57" spans="1:9" x14ac:dyDescent="0.25">
      <c r="A57" s="9" t="s">
        <v>278</v>
      </c>
      <c r="B57" s="9">
        <v>41</v>
      </c>
      <c r="C57" s="4" t="s">
        <v>374</v>
      </c>
      <c r="D57" s="30" t="s">
        <v>375</v>
      </c>
      <c r="E57" s="19" t="s">
        <v>293</v>
      </c>
      <c r="F57" s="9" t="s">
        <v>67</v>
      </c>
      <c r="G57" s="9" t="s">
        <v>67</v>
      </c>
      <c r="H57" s="9" t="s">
        <v>67</v>
      </c>
      <c r="I57" s="4" t="s">
        <v>67</v>
      </c>
    </row>
    <row r="58" spans="1:9" x14ac:dyDescent="0.25">
      <c r="A58" s="10" t="s">
        <v>278</v>
      </c>
      <c r="B58" s="10">
        <v>42</v>
      </c>
      <c r="C58" s="6" t="s">
        <v>376</v>
      </c>
      <c r="D58" s="31" t="s">
        <v>377</v>
      </c>
      <c r="E58" s="18" t="s">
        <v>296</v>
      </c>
      <c r="F58" s="10" t="s">
        <v>67</v>
      </c>
      <c r="G58" s="10" t="s">
        <v>67</v>
      </c>
      <c r="H58" s="10" t="s">
        <v>67</v>
      </c>
      <c r="I58" s="6" t="s">
        <v>67</v>
      </c>
    </row>
    <row r="59" spans="1:9" x14ac:dyDescent="0.25">
      <c r="A59" s="9" t="s">
        <v>278</v>
      </c>
      <c r="B59" s="9">
        <v>43</v>
      </c>
      <c r="C59" s="4" t="s">
        <v>378</v>
      </c>
      <c r="D59" s="30" t="s">
        <v>379</v>
      </c>
      <c r="E59" s="17" t="s">
        <v>296</v>
      </c>
      <c r="F59" s="9" t="s">
        <v>67</v>
      </c>
      <c r="G59" s="9" t="s">
        <v>67</v>
      </c>
      <c r="H59" s="9" t="s">
        <v>67</v>
      </c>
      <c r="I59" s="4" t="s">
        <v>67</v>
      </c>
    </row>
    <row r="60" spans="1:9" x14ac:dyDescent="0.25">
      <c r="A60" s="10" t="s">
        <v>278</v>
      </c>
      <c r="B60" s="10">
        <v>44</v>
      </c>
      <c r="C60" s="6" t="s">
        <v>380</v>
      </c>
      <c r="D60" s="31" t="s">
        <v>381</v>
      </c>
      <c r="E60" s="18" t="s">
        <v>296</v>
      </c>
      <c r="F60" s="10" t="s">
        <v>67</v>
      </c>
      <c r="G60" s="10" t="s">
        <v>67</v>
      </c>
      <c r="H60" s="10" t="s">
        <v>67</v>
      </c>
      <c r="I60" s="6" t="s">
        <v>67</v>
      </c>
    </row>
    <row r="61" spans="1:9" x14ac:dyDescent="0.25">
      <c r="A61" s="9" t="s">
        <v>278</v>
      </c>
      <c r="B61" s="9">
        <v>45</v>
      </c>
      <c r="C61" s="4" t="s">
        <v>382</v>
      </c>
      <c r="D61" s="30" t="s">
        <v>383</v>
      </c>
      <c r="E61" s="19" t="s">
        <v>293</v>
      </c>
      <c r="F61" s="9" t="s">
        <v>67</v>
      </c>
      <c r="G61" s="9" t="s">
        <v>67</v>
      </c>
      <c r="H61" s="9" t="s">
        <v>67</v>
      </c>
      <c r="I61" s="4" t="s">
        <v>67</v>
      </c>
    </row>
    <row r="62" spans="1:9" x14ac:dyDescent="0.25">
      <c r="A62" s="10" t="s">
        <v>279</v>
      </c>
      <c r="B62" s="10">
        <v>46</v>
      </c>
      <c r="C62" s="6" t="s">
        <v>384</v>
      </c>
      <c r="D62" s="31" t="s">
        <v>385</v>
      </c>
      <c r="E62" s="18" t="s">
        <v>296</v>
      </c>
      <c r="F62" s="10" t="s">
        <v>67</v>
      </c>
      <c r="G62" s="10" t="s">
        <v>67</v>
      </c>
      <c r="H62" s="10" t="s">
        <v>67</v>
      </c>
      <c r="I62" s="6" t="s">
        <v>67</v>
      </c>
    </row>
    <row r="63" spans="1:9" x14ac:dyDescent="0.25">
      <c r="A63" s="9" t="s">
        <v>279</v>
      </c>
      <c r="B63" s="9">
        <v>47</v>
      </c>
      <c r="C63" s="4" t="s">
        <v>386</v>
      </c>
      <c r="D63" s="30" t="s">
        <v>387</v>
      </c>
      <c r="E63" s="19" t="s">
        <v>293</v>
      </c>
      <c r="F63" s="9" t="s">
        <v>67</v>
      </c>
      <c r="G63" s="9" t="s">
        <v>67</v>
      </c>
      <c r="H63" s="9" t="s">
        <v>67</v>
      </c>
      <c r="I63" s="4" t="s">
        <v>67</v>
      </c>
    </row>
    <row r="64" spans="1:9" x14ac:dyDescent="0.25">
      <c r="A64" s="10" t="s">
        <v>279</v>
      </c>
      <c r="B64" s="10">
        <v>48</v>
      </c>
      <c r="C64" s="6" t="s">
        <v>388</v>
      </c>
      <c r="D64" s="31" t="s">
        <v>389</v>
      </c>
      <c r="E64" s="20" t="s">
        <v>293</v>
      </c>
      <c r="F64" s="10" t="s">
        <v>67</v>
      </c>
      <c r="G64" s="10" t="s">
        <v>67</v>
      </c>
      <c r="H64" s="10" t="s">
        <v>67</v>
      </c>
      <c r="I64" s="6" t="s">
        <v>67</v>
      </c>
    </row>
    <row r="65" spans="1:9" x14ac:dyDescent="0.25">
      <c r="A65" s="9" t="s">
        <v>279</v>
      </c>
      <c r="B65" s="9">
        <v>49</v>
      </c>
      <c r="C65" s="4" t="s">
        <v>390</v>
      </c>
      <c r="D65" s="30" t="s">
        <v>391</v>
      </c>
      <c r="E65" s="19" t="s">
        <v>293</v>
      </c>
      <c r="F65" s="9" t="s">
        <v>67</v>
      </c>
      <c r="G65" s="9" t="s">
        <v>67</v>
      </c>
      <c r="H65" s="9" t="s">
        <v>67</v>
      </c>
      <c r="I65" s="4" t="s">
        <v>67</v>
      </c>
    </row>
    <row r="66" spans="1:9" x14ac:dyDescent="0.25">
      <c r="A66" s="10" t="s">
        <v>279</v>
      </c>
      <c r="B66" s="10">
        <v>50</v>
      </c>
      <c r="C66" s="6" t="s">
        <v>392</v>
      </c>
      <c r="D66" s="31" t="s">
        <v>393</v>
      </c>
      <c r="E66" s="18" t="s">
        <v>296</v>
      </c>
      <c r="F66" s="10" t="s">
        <v>67</v>
      </c>
      <c r="G66" s="10" t="s">
        <v>67</v>
      </c>
      <c r="H66" s="10" t="s">
        <v>67</v>
      </c>
      <c r="I66" s="6" t="s">
        <v>67</v>
      </c>
    </row>
    <row r="67" spans="1:9" x14ac:dyDescent="0.25">
      <c r="A67" s="9" t="s">
        <v>279</v>
      </c>
      <c r="B67" s="9">
        <v>51</v>
      </c>
      <c r="C67" s="4" t="s">
        <v>394</v>
      </c>
      <c r="D67" s="30" t="s">
        <v>395</v>
      </c>
      <c r="E67" s="17" t="s">
        <v>296</v>
      </c>
      <c r="F67" s="9" t="s">
        <v>67</v>
      </c>
      <c r="G67" s="9" t="s">
        <v>67</v>
      </c>
      <c r="H67" s="9" t="s">
        <v>67</v>
      </c>
      <c r="I67" s="4" t="s">
        <v>67</v>
      </c>
    </row>
    <row r="68" spans="1:9" x14ac:dyDescent="0.25">
      <c r="A68" s="10" t="s">
        <v>279</v>
      </c>
      <c r="B68" s="10">
        <v>52</v>
      </c>
      <c r="C68" s="6" t="s">
        <v>396</v>
      </c>
      <c r="D68" s="31" t="s">
        <v>397</v>
      </c>
      <c r="E68" s="18" t="s">
        <v>296</v>
      </c>
      <c r="F68" s="10" t="s">
        <v>67</v>
      </c>
      <c r="G68" s="10" t="s">
        <v>67</v>
      </c>
      <c r="H68" s="10" t="s">
        <v>67</v>
      </c>
      <c r="I68" s="6" t="s">
        <v>67</v>
      </c>
    </row>
    <row r="69" spans="1:9" x14ac:dyDescent="0.25">
      <c r="A69" s="9" t="s">
        <v>279</v>
      </c>
      <c r="B69" s="9">
        <v>53</v>
      </c>
      <c r="C69" s="4" t="s">
        <v>398</v>
      </c>
      <c r="D69" s="30" t="s">
        <v>399</v>
      </c>
      <c r="E69" s="19" t="s">
        <v>293</v>
      </c>
      <c r="F69" s="9" t="s">
        <v>67</v>
      </c>
      <c r="G69" s="9" t="s">
        <v>67</v>
      </c>
      <c r="H69" s="9" t="s">
        <v>67</v>
      </c>
      <c r="I69" s="4" t="s">
        <v>67</v>
      </c>
    </row>
    <row r="70" spans="1:9" x14ac:dyDescent="0.25">
      <c r="A70" s="10" t="s">
        <v>279</v>
      </c>
      <c r="B70" s="10">
        <v>54</v>
      </c>
      <c r="C70" s="6" t="s">
        <v>400</v>
      </c>
      <c r="D70" s="31" t="s">
        <v>401</v>
      </c>
      <c r="E70" s="18" t="s">
        <v>296</v>
      </c>
      <c r="F70" s="10" t="s">
        <v>67</v>
      </c>
      <c r="G70" s="10" t="s">
        <v>67</v>
      </c>
      <c r="H70" s="10" t="s">
        <v>67</v>
      </c>
      <c r="I70" s="6" t="s">
        <v>67</v>
      </c>
    </row>
    <row r="71" spans="1:9" x14ac:dyDescent="0.25">
      <c r="A71" s="9" t="s">
        <v>280</v>
      </c>
      <c r="B71" s="9">
        <v>55</v>
      </c>
      <c r="C71" s="4" t="s">
        <v>402</v>
      </c>
      <c r="D71" s="30" t="s">
        <v>403</v>
      </c>
      <c r="E71" s="17" t="s">
        <v>296</v>
      </c>
      <c r="F71" s="9" t="s">
        <v>67</v>
      </c>
      <c r="G71" s="9" t="s">
        <v>67</v>
      </c>
      <c r="H71" s="9" t="s">
        <v>67</v>
      </c>
      <c r="I71" s="4" t="s">
        <v>67</v>
      </c>
    </row>
    <row r="72" spans="1:9" x14ac:dyDescent="0.25">
      <c r="A72" s="10" t="s">
        <v>280</v>
      </c>
      <c r="B72" s="10">
        <v>56</v>
      </c>
      <c r="C72" s="6" t="s">
        <v>404</v>
      </c>
      <c r="D72" s="31" t="s">
        <v>405</v>
      </c>
      <c r="E72" s="33" t="s">
        <v>299</v>
      </c>
      <c r="F72" s="10" t="s">
        <v>67</v>
      </c>
      <c r="G72" s="10" t="s">
        <v>67</v>
      </c>
      <c r="H72" s="10" t="s">
        <v>67</v>
      </c>
      <c r="I72" s="6" t="s">
        <v>67</v>
      </c>
    </row>
    <row r="73" spans="1:9" x14ac:dyDescent="0.25">
      <c r="A73" s="9" t="s">
        <v>280</v>
      </c>
      <c r="B73" s="9">
        <v>57</v>
      </c>
      <c r="C73" s="4" t="s">
        <v>406</v>
      </c>
      <c r="D73" s="30" t="s">
        <v>407</v>
      </c>
      <c r="E73" s="19" t="s">
        <v>293</v>
      </c>
      <c r="F73" s="9" t="s">
        <v>67</v>
      </c>
      <c r="G73" s="9" t="s">
        <v>67</v>
      </c>
      <c r="H73" s="9" t="s">
        <v>67</v>
      </c>
      <c r="I73" s="4" t="s">
        <v>67</v>
      </c>
    </row>
    <row r="74" spans="1:9" x14ac:dyDescent="0.25">
      <c r="A74" s="10" t="s">
        <v>280</v>
      </c>
      <c r="B74" s="10">
        <v>58</v>
      </c>
      <c r="C74" s="6" t="s">
        <v>408</v>
      </c>
      <c r="D74" s="31" t="s">
        <v>409</v>
      </c>
      <c r="E74" s="18" t="s">
        <v>296</v>
      </c>
      <c r="F74" s="10" t="s">
        <v>67</v>
      </c>
      <c r="G74" s="10" t="s">
        <v>67</v>
      </c>
      <c r="H74" s="10" t="s">
        <v>67</v>
      </c>
      <c r="I74" s="6" t="s">
        <v>67</v>
      </c>
    </row>
    <row r="75" spans="1:9" x14ac:dyDescent="0.25">
      <c r="A75" s="9" t="s">
        <v>280</v>
      </c>
      <c r="B75" s="9">
        <v>59</v>
      </c>
      <c r="C75" s="4" t="s">
        <v>410</v>
      </c>
      <c r="D75" s="30" t="s">
        <v>411</v>
      </c>
      <c r="E75" s="32" t="s">
        <v>299</v>
      </c>
      <c r="F75" s="9" t="s">
        <v>67</v>
      </c>
      <c r="G75" s="9" t="s">
        <v>67</v>
      </c>
      <c r="H75" s="9" t="s">
        <v>67</v>
      </c>
      <c r="I75" s="4" t="s">
        <v>67</v>
      </c>
    </row>
    <row r="76" spans="1:9" x14ac:dyDescent="0.25">
      <c r="A76" s="10" t="s">
        <v>280</v>
      </c>
      <c r="B76" s="10">
        <v>60</v>
      </c>
      <c r="C76" s="6" t="s">
        <v>412</v>
      </c>
      <c r="D76" s="31" t="s">
        <v>413</v>
      </c>
      <c r="E76" s="18" t="s">
        <v>296</v>
      </c>
      <c r="F76" s="10" t="s">
        <v>67</v>
      </c>
      <c r="G76" s="10" t="s">
        <v>67</v>
      </c>
      <c r="H76" s="10" t="s">
        <v>67</v>
      </c>
      <c r="I76" s="6" t="s">
        <v>67</v>
      </c>
    </row>
  </sheetData>
  <mergeCells count="4">
    <mergeCell ref="A1:I1"/>
    <mergeCell ref="A2:I2"/>
    <mergeCell ref="A3:I3"/>
    <mergeCell ref="A15:I15"/>
  </mergeCells>
  <dataValidations count="1">
    <dataValidation type="list" allowBlank="1" sqref="F17:H76">
      <formula1>"✓,✗"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总览与每日作息</vt:lpstr>
      <vt:lpstr>11周四科计划</vt:lpstr>
      <vt:lpstr>教材章节优先级</vt:lpstr>
      <vt:lpstr>855复习清单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备考整理</dc:creator>
  <dc:title/>
  <dc:subject/>
  <dc:description/>
  <cp:keywords/>
  <cp:category/>
  <cp:lastModifiedBy>Unknown</cp:lastModifiedBy>
  <dcterms:created xsi:type="dcterms:W3CDTF">2026-10-02T15:41:08Z</dcterms:created>
  <dcterms:modified xsi:type="dcterms:W3CDTF">2026-10-02T15:41:08Z</dcterms:modified>
</cp:coreProperties>
</file>